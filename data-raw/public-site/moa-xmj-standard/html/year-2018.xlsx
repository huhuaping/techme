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xmj-standard\html\"/>
    </mc:Choice>
  </mc:AlternateContent>
  <xr:revisionPtr revIDLastSave="0" documentId="13_ncr:81_{C91E9EBF-0211-490E-8047-690B7BAE5239}" xr6:coauthVersionLast="47" xr6:coauthVersionMax="47" xr10:uidLastSave="{00000000-0000-0000-0000-000000000000}"/>
  <bookViews>
    <workbookView xWindow="-24120" yWindow="2490" windowWidth="24240" windowHeight="13140" xr2:uid="{00000000-000D-0000-FFFF-FFFF00000000}"/>
  </bookViews>
  <sheets>
    <sheet name="通过" sheetId="1" r:id="rId1"/>
    <sheet name="不通过" sheetId="2" r:id="rId2"/>
    <sheet name="评审结果" sheetId="3" r:id="rId3"/>
  </sheets>
  <externalReferences>
    <externalReference r:id="rId4"/>
  </externalReferences>
  <definedNames>
    <definedName name="_xlnm._FilterDatabase" localSheetId="1" hidden="1">不通过!$B$2:$V$13</definedName>
    <definedName name="_xlnm._FilterDatabase" localSheetId="2" hidden="1">评审结果!$A$2:$U$118</definedName>
    <definedName name="_xlnm._FilterDatabase" localSheetId="0" hidden="1">通过!$B$1:$U$106</definedName>
    <definedName name="_xlnm.Print_Area" localSheetId="1">不通过!$A$1:$F$13</definedName>
    <definedName name="_xlnm.Print_Area" localSheetId="2">评审结果!$A$1:$E$118</definedName>
    <definedName name="_xlnm.Print_Area" localSheetId="0">通过!$A$1:$E$106</definedName>
    <definedName name="_xlnm.Print_Titles" localSheetId="0">通过!$1:$1</definedName>
    <definedName name="Z_107DE7A0_3DAF_478A_9BAF_3C691FA9A2FF_.wvu.FilterData" localSheetId="1" hidden="1">不通过!$B$2:$V$13</definedName>
    <definedName name="Z_107DE7A0_3DAF_478A_9BAF_3C691FA9A2FF_.wvu.FilterData" localSheetId="2" hidden="1">评审结果!$A$2:$U$118</definedName>
    <definedName name="Z_107DE7A0_3DAF_478A_9BAF_3C691FA9A2FF_.wvu.FilterData" localSheetId="0" hidden="1">通过!$B$1:$U$106</definedName>
    <definedName name="Z_107DE7A0_3DAF_478A_9BAF_3C691FA9A2FF_.wvu.PrintArea" localSheetId="1" hidden="1">不通过!$A$1:$F$13</definedName>
    <definedName name="Z_107DE7A0_3DAF_478A_9BAF_3C691FA9A2FF_.wvu.PrintArea" localSheetId="2" hidden="1">评审结果!$A$1:$E$118</definedName>
    <definedName name="Z_107DE7A0_3DAF_478A_9BAF_3C691FA9A2FF_.wvu.PrintArea" localSheetId="0" hidden="1">通过!$A$1:$E$106</definedName>
    <definedName name="Z_107DE7A0_3DAF_478A_9BAF_3C691FA9A2FF_.wvu.PrintTitles" localSheetId="0" hidden="1">通过!$1:$1</definedName>
    <definedName name="Z_BF41293E_5BFA_400A_AA68_530EAC246496_.wvu.FilterData" localSheetId="1" hidden="1">不通过!$B$2:$V$13</definedName>
    <definedName name="Z_BF41293E_5BFA_400A_AA68_530EAC246496_.wvu.FilterData" localSheetId="2" hidden="1">评审结果!$A$2:$U$118</definedName>
    <definedName name="Z_BF41293E_5BFA_400A_AA68_530EAC246496_.wvu.FilterData" localSheetId="0" hidden="1">通过!$B$1:$U$106</definedName>
    <definedName name="Z_BF41293E_5BFA_400A_AA68_530EAC246496_.wvu.PrintArea" localSheetId="1" hidden="1">不通过!$A$1:$F$13</definedName>
    <definedName name="Z_BF41293E_5BFA_400A_AA68_530EAC246496_.wvu.PrintArea" localSheetId="2" hidden="1">评审结果!$A$1:$E$118</definedName>
    <definedName name="Z_BF41293E_5BFA_400A_AA68_530EAC246496_.wvu.PrintArea" localSheetId="0" hidden="1">通过!$A$1:$E$106</definedName>
    <definedName name="Z_BF41293E_5BFA_400A_AA68_530EAC246496_.wvu.PrintTitles" localSheetId="0" hidden="1">通过!$1:$1</definedName>
    <definedName name="Z_DE54F411_5CCD_43D3_8A8B_1D3258F3AEB4_.wvu.FilterData" localSheetId="1" hidden="1">不通过!$B$2:$V$13</definedName>
    <definedName name="Z_DE54F411_5CCD_43D3_8A8B_1D3258F3AEB4_.wvu.FilterData" localSheetId="2" hidden="1">评审结果!$A$2:$U$118</definedName>
    <definedName name="Z_DE54F411_5CCD_43D3_8A8B_1D3258F3AEB4_.wvu.FilterData" localSheetId="0" hidden="1">通过!$B$1:$U$106</definedName>
    <definedName name="Z_DE54F411_5CCD_43D3_8A8B_1D3258F3AEB4_.wvu.PrintArea" localSheetId="1" hidden="1">不通过!$A$1:$F$13</definedName>
    <definedName name="Z_DE54F411_5CCD_43D3_8A8B_1D3258F3AEB4_.wvu.PrintArea" localSheetId="2" hidden="1">评审结果!$A$1:$E$118</definedName>
    <definedName name="Z_DE54F411_5CCD_43D3_8A8B_1D3258F3AEB4_.wvu.PrintArea" localSheetId="0" hidden="1">通过!$A$1:$E$106</definedName>
    <definedName name="Z_DE54F411_5CCD_43D3_8A8B_1D3258F3AEB4_.wvu.PrintTitles" localSheetId="0" hidden="1">通过!$1:$1</definedName>
    <definedName name="Z_F2009304_EFC4_4EBE_90DB_85EC541381FF_.wvu.FilterData" localSheetId="1" hidden="1">不通过!$B$2:$V$13</definedName>
    <definedName name="Z_F2009304_EFC4_4EBE_90DB_85EC541381FF_.wvu.FilterData" localSheetId="2" hidden="1">评审结果!$A$2:$U$118</definedName>
    <definedName name="Z_F2009304_EFC4_4EBE_90DB_85EC541381FF_.wvu.FilterData" localSheetId="0" hidden="1">通过!$B$1:$U$106</definedName>
    <definedName name="Z_F2009304_EFC4_4EBE_90DB_85EC541381FF_.wvu.PrintArea" localSheetId="1" hidden="1">不通过!$A$1:$F$13</definedName>
    <definedName name="Z_F2009304_EFC4_4EBE_90DB_85EC541381FF_.wvu.PrintArea" localSheetId="2" hidden="1">评审结果!$A$1:$E$118</definedName>
    <definedName name="Z_F2009304_EFC4_4EBE_90DB_85EC541381FF_.wvu.PrintArea" localSheetId="0" hidden="1">通过!$A$1:$E$106</definedName>
    <definedName name="Z_F2009304_EFC4_4EBE_90DB_85EC541381FF_.wvu.PrintTitles" localSheetId="0" hidden="1">通过!$1:$1</definedName>
  </definedNames>
  <calcPr calcId="191029"/>
  <customWorkbookViews>
    <customWorkbookView name="lenovo - 个人视图" guid="{BF41293E-5BFA-400A-AA68-530EAC246496}" mergeInterval="0" personalView="1" maximized="1" xWindow="1" yWindow="1" windowWidth="1280" windowHeight="735" activeSheetId="1"/>
    <customWorkbookView name="User - 个人视图" guid="{F2009304-EFC4-4EBE-90DB-85EC541381FF}" mergeInterval="0" personalView="1" maximized="1" xWindow="-9" yWindow="-9" windowWidth="1938" windowHeight="1050" activeSheetId="1"/>
    <customWorkbookView name="lujian - 个人视图" guid="{DE54F411-5CCD-43D3-8A8B-1D3258F3AEB4}" mergeInterval="0" personalView="1" maximized="1" xWindow="1" yWindow="1" windowWidth="1596" windowHeight="611" activeSheetId="1" showComments="commIndAndComment"/>
    <customWorkbookView name="hotmail hhp - 个人视图" guid="{107DE7A0-3DAF-478A-9BAF-3C691FA9A2FF}" mergeInterval="0" personalView="1" maximized="1" xWindow="-1319" yWindow="1067" windowWidth="3266" windowHeight="21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8" i="3" l="1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<sst xmlns="http://schemas.openxmlformats.org/spreadsheetml/2006/main" count="648" uniqueCount="331">
  <si>
    <t>2018年畜禽养殖标准化示范场不通过名单</t>
  </si>
  <si>
    <t>省份</t>
  </si>
  <si>
    <t>数量</t>
  </si>
  <si>
    <t>畜种</t>
  </si>
  <si>
    <t>单位名称</t>
  </si>
  <si>
    <t>评审结果</t>
  </si>
  <si>
    <t>河北</t>
  </si>
  <si>
    <t>奶牛</t>
  </si>
  <si>
    <t>保定双丰牧业有限公司</t>
  </si>
  <si>
    <t>辽宁</t>
  </si>
  <si>
    <t>生猪</t>
  </si>
  <si>
    <t>北镇大北农农牧食品有限公司</t>
  </si>
  <si>
    <t>肉牛</t>
  </si>
  <si>
    <t>凌源市牧兴农业开发有限公司</t>
  </si>
  <si>
    <t>江西</t>
  </si>
  <si>
    <t>江西曾鑫生态养殖有限公司</t>
  </si>
  <si>
    <t>青岛</t>
  </si>
  <si>
    <t>青岛达生泽六畜牧有限公司</t>
  </si>
  <si>
    <t>河南</t>
  </si>
  <si>
    <t>蛋鸡</t>
  </si>
  <si>
    <t>新乡市长寿蛋业有限公司</t>
  </si>
  <si>
    <t>鹤壁市绿洲牧业有限公司</t>
  </si>
  <si>
    <t>广东</t>
  </si>
  <si>
    <t>台山市赛科农业技术有限公司</t>
  </si>
  <si>
    <t>海南</t>
  </si>
  <si>
    <t>儋州鑫棠牧业有限公司</t>
  </si>
  <si>
    <t>贵州</t>
  </si>
  <si>
    <t>贵州黔农农业科技有限公司</t>
  </si>
  <si>
    <t>青海</t>
  </si>
  <si>
    <t>肉牛、奶牛</t>
  </si>
  <si>
    <t>海晏高原藏区牦牛养殖专业合作社</t>
  </si>
  <si>
    <t>2018年畜禽养殖标准化示范场名单</t>
  </si>
  <si>
    <t>天津</t>
  </si>
  <si>
    <t>天津市宁河原种猪场</t>
  </si>
  <si>
    <t>中粮家佳康（张北）有限公司</t>
  </si>
  <si>
    <t>河北省永清县远村畜业养殖基地</t>
  </si>
  <si>
    <t>昌黎县天惠农业科技有限公司</t>
  </si>
  <si>
    <t>北粮农业股份有限公司</t>
  </si>
  <si>
    <t>平山县西柏坡五丰蛋鸡养殖专业合作社</t>
  </si>
  <si>
    <t>涉县华裕家禽育种有限公司</t>
  </si>
  <si>
    <t>河北首农现代农业科技有限公司</t>
  </si>
  <si>
    <t>承德华商恒益农业开发有限公司</t>
  </si>
  <si>
    <t>肉羊</t>
  </si>
  <si>
    <t>河北欣苑农业开发股份有限公司</t>
  </si>
  <si>
    <t>山西</t>
  </si>
  <si>
    <t>高平市神农永兴食品有限责任公司</t>
  </si>
  <si>
    <t>山西南山百世食安农牧业有限公司</t>
  </si>
  <si>
    <t>肉鸡</t>
  </si>
  <si>
    <t>晋中市金尚牧业开发有限公司</t>
  </si>
  <si>
    <t>山西晋龙养殖股份有限公司</t>
  </si>
  <si>
    <t>山西仁德牧业有限责任公司</t>
  </si>
  <si>
    <t>大同市南郊区四方高科农牧有限公司</t>
  </si>
  <si>
    <t>内蒙古</t>
  </si>
  <si>
    <t>巴彦淖尔市圣牧盘古牧业有限责任公司</t>
  </si>
  <si>
    <t>内蒙古富源牧业（托县）有限责任公司</t>
  </si>
  <si>
    <t>通辽市洪泰农业发展有限公司</t>
  </si>
  <si>
    <t>内蒙古富川养殖科技股份有限公司</t>
  </si>
  <si>
    <t>种羊</t>
  </si>
  <si>
    <t>内蒙古乐科生物技术有限公司</t>
  </si>
  <si>
    <t>驴</t>
  </si>
  <si>
    <t>内蒙古草原同源牧业有限公司</t>
  </si>
  <si>
    <t>朝阳广硕牧业有限公司</t>
  </si>
  <si>
    <t>沈阳华美畜禽有限公司</t>
  </si>
  <si>
    <t>丹东耘垦养殖有限公司</t>
  </si>
  <si>
    <t>北票市宏发食品有限公司东官黄古屯肉鸡养殖扶贫农场</t>
  </si>
  <si>
    <t>大连</t>
  </si>
  <si>
    <t>大连韩伟养鸡有限公司旅顺分司</t>
  </si>
  <si>
    <t>吉林</t>
  </si>
  <si>
    <t>吉林省德兴探感食品有限公司</t>
  </si>
  <si>
    <t>吉林省远鸣牧业股份有限公司</t>
  </si>
  <si>
    <t>延边东盛黄牛资源保种有限公司</t>
  </si>
  <si>
    <t>江苏</t>
  </si>
  <si>
    <t>江苏加华种猪有限公司</t>
  </si>
  <si>
    <t>江苏高策农牧科技有限公司</t>
  </si>
  <si>
    <t>连云港北欧农庄生猪养殖有限公司</t>
  </si>
  <si>
    <t>邳州正大食品有限公司</t>
  </si>
  <si>
    <t>肉鸭（番鸭）</t>
  </si>
  <si>
    <t>淮安温氏畜牧有限公司</t>
  </si>
  <si>
    <t>浙江</t>
  </si>
  <si>
    <t>浙江灯塔种猪有限公司</t>
  </si>
  <si>
    <t>浙江武义绿驰农业开发有限公司</t>
  </si>
  <si>
    <t>慈溪市新浦益大养鸡场</t>
  </si>
  <si>
    <t>蜜蜂</t>
  </si>
  <si>
    <t>缙云县阿贤家庭农场</t>
  </si>
  <si>
    <t>安徽</t>
  </si>
  <si>
    <t>安徽卜蜂畜禽有限公司颍上分公司</t>
  </si>
  <si>
    <t>安泰种猪育种有限公司</t>
  </si>
  <si>
    <t>黄山德青源种禽有限公司</t>
  </si>
  <si>
    <t>安徽圣迪乐村生态食品有限公司</t>
  </si>
  <si>
    <t>福建</t>
  </si>
  <si>
    <t>福清市丰泽农牧科技开发有限公司</t>
  </si>
  <si>
    <t>福建光华百斯特生态农牧发展有限公司</t>
  </si>
  <si>
    <t>福建圣农发展股份有限公司</t>
  </si>
  <si>
    <t>江西加大种猪有限公司</t>
  </si>
  <si>
    <t>九江景康牧业发展有限公司</t>
  </si>
  <si>
    <t>江西猪美美现代农业研发中心有限公司玉舍分公司</t>
  </si>
  <si>
    <t>江西东华种畜禽有限公司</t>
  </si>
  <si>
    <t>江西华裕家禽育种有限公司黄泥种鸡场</t>
  </si>
  <si>
    <t>山东</t>
  </si>
  <si>
    <t>山东临沂忠生良种猪扩繁有限公司</t>
  </si>
  <si>
    <t>烟台福祖畜牧养殖有限公司第二分公司</t>
  </si>
  <si>
    <t>潍坊江海原种猪场</t>
  </si>
  <si>
    <t>山东源长牧业有限公司</t>
  </si>
  <si>
    <t>济南安普瑞禽业科技有限公司</t>
  </si>
  <si>
    <t>福喜（威海）农牧发展有限公司</t>
  </si>
  <si>
    <t>山东佳盈食品有限公司</t>
  </si>
  <si>
    <t>梁山县宏育源畜牧养殖专业和作社</t>
  </si>
  <si>
    <t>山东大地乳业有限公司</t>
  </si>
  <si>
    <t>临清润林牧业有限公司</t>
  </si>
  <si>
    <t>青岛广河农牧科技有限公司</t>
  </si>
  <si>
    <t>长葛市昌汇养殖有限公司</t>
  </si>
  <si>
    <t>西华牧原农牧有限公司第六分厂</t>
  </si>
  <si>
    <t>栾川青城山生态养殖园有限责任公司</t>
  </si>
  <si>
    <t>河南天康宏展农牧科技有限公司</t>
  </si>
  <si>
    <t>太康牧原农牧有限公司七厂</t>
  </si>
  <si>
    <t>方城县恒旺牧业有限公司</t>
  </si>
  <si>
    <t>河南花花牛畜牧科技有限公司</t>
  </si>
  <si>
    <t>新蔡瑞亚牧业有限公司</t>
  </si>
  <si>
    <t>湖北</t>
  </si>
  <si>
    <t>湖北省正嘉原种猪场有限公司鄂州原种猪场</t>
  </si>
  <si>
    <t>湖北奥登农牧科技有限公司</t>
  </si>
  <si>
    <t>咸宁市神童牧业有限责任公司</t>
  </si>
  <si>
    <t>湖北丰联佳沃农业开发有限公司</t>
  </si>
  <si>
    <t>京山绿林农牧科技有限公司</t>
  </si>
  <si>
    <t>湖南</t>
  </si>
  <si>
    <t>新湘农生态科技有限公司</t>
  </si>
  <si>
    <t>湖南湘佳牧业股份有限公司</t>
  </si>
  <si>
    <t>广东东成种猪科技有限公司</t>
  </si>
  <si>
    <t>龙川东瑞农牧发展有限公司</t>
  </si>
  <si>
    <t>广州德胜现代农牧发展有限公司</t>
  </si>
  <si>
    <t>梅州市凯兴现代农业发展有限公司</t>
  </si>
  <si>
    <t>广西</t>
  </si>
  <si>
    <t>广西泰然生态农业有限公司</t>
  </si>
  <si>
    <t>广西扬翔农牧有限责任公司大岭种猪场</t>
  </si>
  <si>
    <t>广西鸿光农牧有限公司木坪鸡场</t>
  </si>
  <si>
    <t>屯昌天之虹生态农牧有限公司</t>
  </si>
  <si>
    <t>三亚万保实业有限公司</t>
  </si>
  <si>
    <t>重庆</t>
  </si>
  <si>
    <t>重庆永安畜牧开发有限公司</t>
  </si>
  <si>
    <t>四川</t>
  </si>
  <si>
    <t>四川高金天兆牧业有限公司</t>
  </si>
  <si>
    <t>四川省眉山万家好种猪繁育有限公司（松江种猪场）</t>
  </si>
  <si>
    <t>成都旺江农牧科技有限公司牟礼养殖基地</t>
  </si>
  <si>
    <t>四川圣迪乐村生态食品股份有限公司（石河蛋鸡场）</t>
  </si>
  <si>
    <t>四川新希望华西牧业有限公司（青白江牧场）</t>
  </si>
  <si>
    <t>肉兔</t>
  </si>
  <si>
    <t>井研县新茂农业科技有限公司</t>
  </si>
  <si>
    <t>云南</t>
  </si>
  <si>
    <t>云南百草地大河乌猪良种繁育有限公司</t>
  </si>
  <si>
    <t>怒江晨晨农业开发有限公司</t>
  </si>
  <si>
    <t>陕西</t>
  </si>
  <si>
    <t>陕西顺鑫种猪选育有限公司</t>
  </si>
  <si>
    <t>现代牧业（宝鸡）有限公司</t>
  </si>
  <si>
    <t>甘肃</t>
  </si>
  <si>
    <t>张掖市万禾草畜产业科技开发有限责任公司</t>
  </si>
  <si>
    <t>海东市海邦肉牛养殖专业合作社</t>
  </si>
  <si>
    <t>宁夏</t>
  </si>
  <si>
    <t>宁夏汇丰源牧业股份有限公司</t>
  </si>
  <si>
    <t>新疆</t>
  </si>
  <si>
    <t>昌吉市正飞牛业养殖有限责任公司</t>
  </si>
  <si>
    <t>马</t>
  </si>
  <si>
    <t>新疆伊犁哈萨克自治州昭苏马场</t>
  </si>
  <si>
    <t>阿克苏地区天山肉用种羊有限责任公司</t>
  </si>
  <si>
    <t>新疆兵团</t>
  </si>
  <si>
    <t>石河子市泉旺牧业有限责任公司</t>
  </si>
  <si>
    <t>黑龙江农垦</t>
  </si>
  <si>
    <t>北安农垦金澳牧场专业合作社</t>
  </si>
  <si>
    <r>
      <rPr>
        <b/>
        <sz val="12"/>
        <rFont val="宋体"/>
        <family val="3"/>
        <charset val="134"/>
      </rPr>
      <t>序号</t>
    </r>
    <phoneticPr fontId="7" type="noConversion"/>
  </si>
  <si>
    <r>
      <rPr>
        <b/>
        <sz val="12"/>
        <rFont val="宋体"/>
        <family val="3"/>
        <charset val="134"/>
      </rPr>
      <t>省份</t>
    </r>
  </si>
  <si>
    <r>
      <rPr>
        <b/>
        <sz val="11"/>
        <rFont val="宋体"/>
        <family val="3"/>
        <charset val="134"/>
      </rPr>
      <t>数量</t>
    </r>
  </si>
  <si>
    <r>
      <rPr>
        <b/>
        <sz val="12"/>
        <rFont val="宋体"/>
        <family val="3"/>
        <charset val="134"/>
      </rPr>
      <t>畜种</t>
    </r>
  </si>
  <si>
    <r>
      <rPr>
        <b/>
        <sz val="12"/>
        <rFont val="宋体"/>
        <family val="3"/>
        <charset val="134"/>
      </rPr>
      <t>单位名称</t>
    </r>
  </si>
  <si>
    <r>
      <rPr>
        <sz val="10"/>
        <rFont val="宋体"/>
        <family val="3"/>
        <charset val="134"/>
      </rPr>
      <t>天津</t>
    </r>
  </si>
  <si>
    <r>
      <rPr>
        <sz val="10"/>
        <rFont val="宋体"/>
        <family val="3"/>
        <charset val="134"/>
      </rPr>
      <t>生猪</t>
    </r>
  </si>
  <si>
    <r>
      <rPr>
        <sz val="10"/>
        <rFont val="宋体"/>
        <family val="3"/>
        <charset val="134"/>
      </rPr>
      <t>天津市宁河原种猪场</t>
    </r>
  </si>
  <si>
    <r>
      <rPr>
        <sz val="10"/>
        <rFont val="宋体"/>
        <family val="3"/>
        <charset val="134"/>
      </rPr>
      <t>河北</t>
    </r>
  </si>
  <si>
    <r>
      <rPr>
        <sz val="10"/>
        <rFont val="宋体"/>
        <family val="3"/>
        <charset val="134"/>
      </rPr>
      <t>中粮家佳康（张北）有限公司</t>
    </r>
  </si>
  <si>
    <r>
      <rPr>
        <sz val="10"/>
        <rFont val="宋体"/>
        <family val="3"/>
        <charset val="134"/>
      </rPr>
      <t>河北省永清县远村畜业养殖基地</t>
    </r>
  </si>
  <si>
    <r>
      <rPr>
        <sz val="10"/>
        <rFont val="宋体"/>
        <family val="3"/>
        <charset val="134"/>
      </rPr>
      <t>昌黎县天惠农业科技有限公司</t>
    </r>
  </si>
  <si>
    <r>
      <rPr>
        <sz val="10"/>
        <rFont val="宋体"/>
        <family val="3"/>
        <charset val="134"/>
      </rPr>
      <t>蛋鸡</t>
    </r>
  </si>
  <si>
    <r>
      <rPr>
        <sz val="10"/>
        <rFont val="宋体"/>
        <family val="3"/>
        <charset val="134"/>
      </rPr>
      <t>北粮农业股份有限公司</t>
    </r>
  </si>
  <si>
    <r>
      <rPr>
        <sz val="10"/>
        <rFont val="宋体"/>
        <family val="3"/>
        <charset val="134"/>
      </rPr>
      <t>平山县西柏坡五丰蛋鸡养殖专业合作社</t>
    </r>
  </si>
  <si>
    <r>
      <rPr>
        <sz val="10"/>
        <rFont val="宋体"/>
        <family val="3"/>
        <charset val="134"/>
      </rPr>
      <t>涉县华裕家禽育种有限公司</t>
    </r>
  </si>
  <si>
    <r>
      <rPr>
        <sz val="10"/>
        <rFont val="宋体"/>
        <family val="3"/>
        <charset val="134"/>
      </rPr>
      <t>奶牛</t>
    </r>
  </si>
  <si>
    <r>
      <rPr>
        <sz val="10"/>
        <rFont val="宋体"/>
        <family val="3"/>
        <charset val="134"/>
      </rPr>
      <t>保定双丰牧业有限公司</t>
    </r>
  </si>
  <si>
    <r>
      <rPr>
        <sz val="10"/>
        <rFont val="宋体"/>
        <family val="3"/>
        <charset val="134"/>
      </rPr>
      <t>河北首农现代农业科技有限公司</t>
    </r>
  </si>
  <si>
    <r>
      <rPr>
        <sz val="10"/>
        <rFont val="宋体"/>
        <family val="3"/>
        <charset val="134"/>
      </rPr>
      <t>承德华商恒益农业开发有限公司</t>
    </r>
  </si>
  <si>
    <r>
      <rPr>
        <sz val="10"/>
        <rFont val="宋体"/>
        <family val="3"/>
        <charset val="134"/>
      </rPr>
      <t>肉羊</t>
    </r>
  </si>
  <si>
    <r>
      <rPr>
        <sz val="10"/>
        <rFont val="宋体"/>
        <family val="3"/>
        <charset val="134"/>
      </rPr>
      <t>河北欣苑农业开发股份有限公司</t>
    </r>
  </si>
  <si>
    <r>
      <rPr>
        <sz val="10"/>
        <rFont val="宋体"/>
        <family val="3"/>
        <charset val="134"/>
      </rPr>
      <t>山西</t>
    </r>
  </si>
  <si>
    <r>
      <rPr>
        <sz val="10"/>
        <rFont val="宋体"/>
        <family val="3"/>
        <charset val="134"/>
      </rPr>
      <t>高平市神农永兴食品有限责任公司</t>
    </r>
  </si>
  <si>
    <r>
      <rPr>
        <sz val="10"/>
        <rFont val="宋体"/>
        <family val="3"/>
        <charset val="134"/>
      </rPr>
      <t>山西南山百世食安农牧业有限公司</t>
    </r>
  </si>
  <si>
    <r>
      <rPr>
        <sz val="10"/>
        <rFont val="宋体"/>
        <family val="3"/>
        <charset val="134"/>
      </rPr>
      <t>肉鸡</t>
    </r>
  </si>
  <si>
    <r>
      <rPr>
        <sz val="10"/>
        <rFont val="宋体"/>
        <family val="3"/>
        <charset val="134"/>
      </rPr>
      <t>晋中市金尚牧业开发有限公司</t>
    </r>
  </si>
  <si>
    <r>
      <rPr>
        <sz val="10"/>
        <rFont val="宋体"/>
        <family val="3"/>
        <charset val="134"/>
      </rPr>
      <t>山西晋龙养殖股份有限公司</t>
    </r>
  </si>
  <si>
    <r>
      <rPr>
        <sz val="10"/>
        <rFont val="宋体"/>
        <family val="3"/>
        <charset val="134"/>
      </rPr>
      <t>山西仁德牧业有限责任公司</t>
    </r>
  </si>
  <si>
    <r>
      <rPr>
        <sz val="10"/>
        <rFont val="宋体"/>
        <family val="3"/>
        <charset val="134"/>
      </rPr>
      <t>大同市南郊区四方高科农牧有限公司</t>
    </r>
  </si>
  <si>
    <r>
      <rPr>
        <sz val="10"/>
        <rFont val="宋体"/>
        <family val="3"/>
        <charset val="134"/>
      </rPr>
      <t>内蒙古</t>
    </r>
  </si>
  <si>
    <r>
      <rPr>
        <sz val="10"/>
        <rFont val="宋体"/>
        <family val="3"/>
        <charset val="134"/>
      </rPr>
      <t>巴彦淖尔市圣牧盘古牧业有限责任公司</t>
    </r>
  </si>
  <si>
    <r>
      <rPr>
        <sz val="10"/>
        <rFont val="宋体"/>
        <family val="3"/>
        <charset val="134"/>
      </rPr>
      <t>内蒙古富源牧业（托县）有限责任公司</t>
    </r>
  </si>
  <si>
    <r>
      <rPr>
        <sz val="10"/>
        <rFont val="宋体"/>
        <family val="3"/>
        <charset val="134"/>
      </rPr>
      <t>肉牛</t>
    </r>
  </si>
  <si>
    <r>
      <rPr>
        <sz val="10"/>
        <rFont val="宋体"/>
        <family val="3"/>
        <charset val="134"/>
      </rPr>
      <t>通辽市洪泰农业发展有限公司</t>
    </r>
  </si>
  <si>
    <r>
      <rPr>
        <sz val="10"/>
        <rFont val="宋体"/>
        <family val="3"/>
        <charset val="134"/>
      </rPr>
      <t>内蒙古富川养殖科技股份有限公司</t>
    </r>
  </si>
  <si>
    <r>
      <rPr>
        <sz val="10"/>
        <rFont val="宋体"/>
        <family val="3"/>
        <charset val="134"/>
      </rPr>
      <t>种羊</t>
    </r>
  </si>
  <si>
    <r>
      <rPr>
        <sz val="10"/>
        <rFont val="宋体"/>
        <family val="3"/>
        <charset val="134"/>
      </rPr>
      <t>内蒙古乐科生物技术有限公司</t>
    </r>
  </si>
  <si>
    <r>
      <rPr>
        <sz val="10"/>
        <rFont val="宋体"/>
        <family val="3"/>
        <charset val="134"/>
      </rPr>
      <t>驴</t>
    </r>
  </si>
  <si>
    <r>
      <rPr>
        <sz val="10"/>
        <rFont val="宋体"/>
        <family val="3"/>
        <charset val="134"/>
      </rPr>
      <t>内蒙古草原同源牧业有限公司</t>
    </r>
  </si>
  <si>
    <r>
      <rPr>
        <sz val="10"/>
        <rFont val="宋体"/>
        <family val="3"/>
        <charset val="134"/>
      </rPr>
      <t>辽宁</t>
    </r>
  </si>
  <si>
    <r>
      <rPr>
        <sz val="10"/>
        <rFont val="宋体"/>
        <family val="3"/>
        <charset val="134"/>
      </rPr>
      <t>朝阳广硕牧业有限公司</t>
    </r>
  </si>
  <si>
    <r>
      <rPr>
        <sz val="10"/>
        <rFont val="宋体"/>
        <family val="3"/>
        <charset val="134"/>
      </rPr>
      <t>沈阳华美畜禽有限公司</t>
    </r>
  </si>
  <si>
    <r>
      <rPr>
        <sz val="10"/>
        <rFont val="宋体"/>
        <family val="3"/>
        <charset val="134"/>
      </rPr>
      <t>丹东耘垦养殖有限公司</t>
    </r>
  </si>
  <si>
    <r>
      <rPr>
        <sz val="10"/>
        <rFont val="宋体"/>
        <family val="3"/>
        <charset val="134"/>
      </rPr>
      <t>大连</t>
    </r>
  </si>
  <si>
    <r>
      <rPr>
        <sz val="10"/>
        <rFont val="宋体"/>
        <family val="3"/>
        <charset val="134"/>
      </rPr>
      <t>大连韩伟养鸡有限公司旅顺分司</t>
    </r>
  </si>
  <si>
    <r>
      <rPr>
        <sz val="10"/>
        <rFont val="宋体"/>
        <family val="3"/>
        <charset val="134"/>
      </rPr>
      <t>吉林</t>
    </r>
  </si>
  <si>
    <r>
      <rPr>
        <sz val="10"/>
        <rFont val="宋体"/>
        <family val="3"/>
        <charset val="134"/>
      </rPr>
      <t>吉林省德兴探感食品有限公司</t>
    </r>
  </si>
  <si>
    <r>
      <rPr>
        <sz val="10"/>
        <rFont val="宋体"/>
        <family val="3"/>
        <charset val="134"/>
      </rPr>
      <t>吉林省远鸣牧业股份有限公司</t>
    </r>
  </si>
  <si>
    <r>
      <rPr>
        <sz val="10"/>
        <rFont val="宋体"/>
        <family val="3"/>
        <charset val="134"/>
      </rPr>
      <t>延边东盛黄牛资源保种有限公司</t>
    </r>
  </si>
  <si>
    <r>
      <rPr>
        <sz val="10"/>
        <rFont val="宋体"/>
        <family val="3"/>
        <charset val="134"/>
      </rPr>
      <t>江苏</t>
    </r>
  </si>
  <si>
    <r>
      <rPr>
        <sz val="10"/>
        <rFont val="宋体"/>
        <family val="3"/>
        <charset val="134"/>
      </rPr>
      <t>江苏加华种猪有限公司</t>
    </r>
  </si>
  <si>
    <r>
      <rPr>
        <sz val="10"/>
        <rFont val="宋体"/>
        <family val="3"/>
        <charset val="134"/>
      </rPr>
      <t>江苏高策农牧科技有限公司</t>
    </r>
  </si>
  <si>
    <r>
      <rPr>
        <sz val="10"/>
        <rFont val="宋体"/>
        <family val="3"/>
        <charset val="134"/>
      </rPr>
      <t>连云港北欧农庄生猪养殖有限公司</t>
    </r>
  </si>
  <si>
    <r>
      <rPr>
        <sz val="10"/>
        <rFont val="宋体"/>
        <family val="3"/>
        <charset val="134"/>
      </rPr>
      <t>肉鸭（番鸭）</t>
    </r>
  </si>
  <si>
    <r>
      <rPr>
        <sz val="10"/>
        <rFont val="宋体"/>
        <family val="3"/>
        <charset val="134"/>
      </rPr>
      <t>淮安温氏畜牧有限公司</t>
    </r>
  </si>
  <si>
    <r>
      <rPr>
        <sz val="10"/>
        <rFont val="宋体"/>
        <family val="3"/>
        <charset val="134"/>
      </rPr>
      <t>浙江</t>
    </r>
  </si>
  <si>
    <r>
      <rPr>
        <sz val="10"/>
        <rFont val="宋体"/>
        <family val="3"/>
        <charset val="134"/>
      </rPr>
      <t>浙江灯塔种猪有限公司</t>
    </r>
  </si>
  <si>
    <r>
      <rPr>
        <sz val="10"/>
        <rFont val="宋体"/>
        <family val="3"/>
        <charset val="134"/>
      </rPr>
      <t>浙江武义绿驰农业开发有限公司</t>
    </r>
  </si>
  <si>
    <r>
      <rPr>
        <sz val="10"/>
        <rFont val="宋体"/>
        <family val="3"/>
        <charset val="134"/>
      </rPr>
      <t>慈溪市新浦益大养鸡场</t>
    </r>
  </si>
  <si>
    <r>
      <rPr>
        <sz val="10"/>
        <rFont val="宋体"/>
        <family val="3"/>
        <charset val="134"/>
      </rPr>
      <t>蜜蜂</t>
    </r>
  </si>
  <si>
    <r>
      <rPr>
        <sz val="10"/>
        <rFont val="宋体"/>
        <family val="3"/>
        <charset val="134"/>
      </rPr>
      <t>缙云县阿贤家庭农场</t>
    </r>
  </si>
  <si>
    <r>
      <rPr>
        <sz val="10"/>
        <rFont val="宋体"/>
        <family val="3"/>
        <charset val="134"/>
      </rPr>
      <t>安徽</t>
    </r>
  </si>
  <si>
    <r>
      <rPr>
        <sz val="10"/>
        <rFont val="宋体"/>
        <family val="3"/>
        <charset val="134"/>
      </rPr>
      <t>安徽卜蜂畜禽有限公司颍上分公司</t>
    </r>
  </si>
  <si>
    <r>
      <rPr>
        <sz val="10"/>
        <rFont val="宋体"/>
        <family val="3"/>
        <charset val="134"/>
      </rPr>
      <t>黄山德青源种禽有限公司</t>
    </r>
  </si>
  <si>
    <r>
      <rPr>
        <sz val="10"/>
        <rFont val="宋体"/>
        <family val="3"/>
        <charset val="134"/>
      </rPr>
      <t>安徽圣迪乐村生态食品有限公司</t>
    </r>
  </si>
  <si>
    <r>
      <rPr>
        <sz val="10"/>
        <rFont val="宋体"/>
        <family val="3"/>
        <charset val="134"/>
      </rPr>
      <t>福建</t>
    </r>
  </si>
  <si>
    <r>
      <rPr>
        <sz val="10"/>
        <rFont val="宋体"/>
        <family val="3"/>
        <charset val="134"/>
      </rPr>
      <t>福清市丰泽农牧科技开发有限公司</t>
    </r>
  </si>
  <si>
    <r>
      <rPr>
        <sz val="10"/>
        <rFont val="宋体"/>
        <family val="3"/>
        <charset val="134"/>
      </rPr>
      <t>福建光华百斯特生态农牧发展有限公司</t>
    </r>
  </si>
  <si>
    <r>
      <rPr>
        <sz val="10"/>
        <rFont val="宋体"/>
        <family val="3"/>
        <charset val="134"/>
      </rPr>
      <t>江西</t>
    </r>
  </si>
  <si>
    <r>
      <rPr>
        <sz val="10"/>
        <rFont val="宋体"/>
        <family val="3"/>
        <charset val="134"/>
      </rPr>
      <t>江西加大种猪有限公司</t>
    </r>
  </si>
  <si>
    <r>
      <rPr>
        <sz val="10"/>
        <rFont val="宋体"/>
        <family val="3"/>
        <charset val="134"/>
      </rPr>
      <t>九江景康牧业发展有限公司</t>
    </r>
  </si>
  <si>
    <r>
      <rPr>
        <sz val="10"/>
        <rFont val="宋体"/>
        <family val="3"/>
        <charset val="134"/>
      </rPr>
      <t>江西东华种畜禽有限公司</t>
    </r>
  </si>
  <si>
    <r>
      <rPr>
        <sz val="10"/>
        <rFont val="宋体"/>
        <family val="3"/>
        <charset val="134"/>
      </rPr>
      <t>江西华裕家禽育种有限公司黄泥种鸡场</t>
    </r>
  </si>
  <si>
    <r>
      <rPr>
        <sz val="10"/>
        <rFont val="宋体"/>
        <family val="3"/>
        <charset val="134"/>
      </rPr>
      <t>山东</t>
    </r>
  </si>
  <si>
    <r>
      <rPr>
        <sz val="10"/>
        <rFont val="宋体"/>
        <family val="3"/>
        <charset val="134"/>
      </rPr>
      <t>潍坊江海原种猪场</t>
    </r>
  </si>
  <si>
    <r>
      <rPr>
        <sz val="10"/>
        <rFont val="宋体"/>
        <family val="3"/>
        <charset val="134"/>
      </rPr>
      <t>山东源长牧业有限公司</t>
    </r>
  </si>
  <si>
    <r>
      <rPr>
        <sz val="10"/>
        <rFont val="宋体"/>
        <family val="3"/>
        <charset val="134"/>
      </rPr>
      <t>济南安普瑞禽业科技有限公司</t>
    </r>
  </si>
  <si>
    <r>
      <rPr>
        <sz val="10"/>
        <rFont val="宋体"/>
        <family val="3"/>
        <charset val="134"/>
      </rPr>
      <t>梁山县宏育源畜牧养殖专业和作社</t>
    </r>
  </si>
  <si>
    <r>
      <rPr>
        <sz val="10"/>
        <rFont val="宋体"/>
        <family val="3"/>
        <charset val="134"/>
      </rPr>
      <t>山东大地乳业有限公司</t>
    </r>
  </si>
  <si>
    <r>
      <rPr>
        <sz val="10"/>
        <rFont val="宋体"/>
        <family val="3"/>
        <charset val="134"/>
      </rPr>
      <t>临清润林牧业有限公司</t>
    </r>
  </si>
  <si>
    <r>
      <rPr>
        <sz val="10"/>
        <rFont val="宋体"/>
        <family val="3"/>
        <charset val="134"/>
      </rPr>
      <t>青岛</t>
    </r>
  </si>
  <si>
    <r>
      <rPr>
        <sz val="10"/>
        <rFont val="宋体"/>
        <family val="3"/>
        <charset val="134"/>
      </rPr>
      <t>青岛广河农牧科技有限公司</t>
    </r>
  </si>
  <si>
    <r>
      <rPr>
        <sz val="10"/>
        <rFont val="宋体"/>
        <family val="3"/>
        <charset val="134"/>
      </rPr>
      <t>河南</t>
    </r>
  </si>
  <si>
    <r>
      <rPr>
        <sz val="10"/>
        <rFont val="宋体"/>
        <family val="3"/>
        <charset val="134"/>
      </rPr>
      <t>长葛市昌汇养殖有限公司</t>
    </r>
  </si>
  <si>
    <r>
      <rPr>
        <sz val="10"/>
        <rFont val="宋体"/>
        <family val="3"/>
        <charset val="134"/>
      </rPr>
      <t>栾川青城山生态养殖园有限责任公司</t>
    </r>
  </si>
  <si>
    <r>
      <rPr>
        <sz val="10"/>
        <rFont val="宋体"/>
        <family val="3"/>
        <charset val="134"/>
      </rPr>
      <t>河南天康宏展农牧科技有限公司</t>
    </r>
  </si>
  <si>
    <r>
      <rPr>
        <sz val="10"/>
        <rFont val="宋体"/>
        <family val="3"/>
        <charset val="134"/>
      </rPr>
      <t>方城县恒旺牧业有限公司</t>
    </r>
  </si>
  <si>
    <r>
      <rPr>
        <sz val="10"/>
        <rFont val="宋体"/>
        <family val="3"/>
        <charset val="134"/>
      </rPr>
      <t>河南花花牛畜牧科技有限公司</t>
    </r>
  </si>
  <si>
    <r>
      <rPr>
        <sz val="10"/>
        <rFont val="宋体"/>
        <family val="3"/>
        <charset val="134"/>
      </rPr>
      <t>新蔡瑞亚牧业有限公司</t>
    </r>
  </si>
  <si>
    <r>
      <rPr>
        <sz val="10"/>
        <rFont val="宋体"/>
        <family val="3"/>
        <charset val="134"/>
      </rPr>
      <t>湖北</t>
    </r>
  </si>
  <si>
    <r>
      <rPr>
        <sz val="10"/>
        <rFont val="宋体"/>
        <family val="3"/>
        <charset val="134"/>
      </rPr>
      <t>湖北省正嘉原种猪场有限公司鄂州原种猪场</t>
    </r>
  </si>
  <si>
    <r>
      <rPr>
        <sz val="10"/>
        <rFont val="宋体"/>
        <family val="3"/>
        <charset val="134"/>
      </rPr>
      <t>湖北奥登农牧科技有限公司</t>
    </r>
  </si>
  <si>
    <r>
      <rPr>
        <sz val="10"/>
        <rFont val="宋体"/>
        <family val="3"/>
        <charset val="134"/>
      </rPr>
      <t>咸宁市神童牧业有限责任公司</t>
    </r>
  </si>
  <si>
    <r>
      <rPr>
        <sz val="10"/>
        <rFont val="宋体"/>
        <family val="3"/>
        <charset val="134"/>
      </rPr>
      <t>湖北丰联佳沃农业开发有限公司</t>
    </r>
  </si>
  <si>
    <r>
      <rPr>
        <sz val="10"/>
        <rFont val="宋体"/>
        <family val="3"/>
        <charset val="134"/>
      </rPr>
      <t>京山绿林农牧科技有限公司</t>
    </r>
  </si>
  <si>
    <r>
      <rPr>
        <sz val="10"/>
        <rFont val="宋体"/>
        <family val="3"/>
        <charset val="134"/>
      </rPr>
      <t>湖南</t>
    </r>
  </si>
  <si>
    <r>
      <rPr>
        <sz val="10"/>
        <rFont val="宋体"/>
        <family val="3"/>
        <charset val="134"/>
      </rPr>
      <t>新湘农生态科技有限公司</t>
    </r>
  </si>
  <si>
    <r>
      <rPr>
        <sz val="10"/>
        <rFont val="宋体"/>
        <family val="3"/>
        <charset val="134"/>
      </rPr>
      <t>广东</t>
    </r>
  </si>
  <si>
    <r>
      <rPr>
        <sz val="10"/>
        <rFont val="宋体"/>
        <family val="3"/>
        <charset val="134"/>
      </rPr>
      <t>广东东成种猪科技有限公司</t>
    </r>
  </si>
  <si>
    <r>
      <rPr>
        <sz val="10"/>
        <rFont val="宋体"/>
        <family val="3"/>
        <charset val="134"/>
      </rPr>
      <t>龙川东瑞农牧发展有限公司</t>
    </r>
  </si>
  <si>
    <r>
      <rPr>
        <sz val="10"/>
        <rFont val="宋体"/>
        <family val="3"/>
        <charset val="134"/>
      </rPr>
      <t>广州德胜现代农牧发展有限公司</t>
    </r>
  </si>
  <si>
    <r>
      <rPr>
        <sz val="10"/>
        <rFont val="宋体"/>
        <family val="3"/>
        <charset val="134"/>
      </rPr>
      <t>梅州市凯兴现代农业发展有限公司</t>
    </r>
  </si>
  <si>
    <r>
      <rPr>
        <sz val="10"/>
        <rFont val="宋体"/>
        <family val="3"/>
        <charset val="134"/>
      </rPr>
      <t>广西</t>
    </r>
  </si>
  <si>
    <r>
      <rPr>
        <sz val="10"/>
        <rFont val="宋体"/>
        <family val="3"/>
        <charset val="134"/>
      </rPr>
      <t>广西泰然生态农业有限公司</t>
    </r>
  </si>
  <si>
    <r>
      <rPr>
        <sz val="10"/>
        <rFont val="宋体"/>
        <family val="3"/>
        <charset val="134"/>
      </rPr>
      <t>广西扬翔农牧有限责任公司大岭种猪场</t>
    </r>
  </si>
  <si>
    <r>
      <rPr>
        <sz val="10"/>
        <rFont val="宋体"/>
        <family val="3"/>
        <charset val="134"/>
      </rPr>
      <t>广西鸿光农牧有限公司木坪鸡场</t>
    </r>
  </si>
  <si>
    <r>
      <rPr>
        <sz val="10"/>
        <rFont val="宋体"/>
        <family val="3"/>
        <charset val="134"/>
      </rPr>
      <t>海南</t>
    </r>
  </si>
  <si>
    <r>
      <rPr>
        <sz val="10"/>
        <rFont val="宋体"/>
        <family val="3"/>
        <charset val="134"/>
      </rPr>
      <t>屯昌天之虹生态农牧有限公司</t>
    </r>
  </si>
  <si>
    <r>
      <rPr>
        <sz val="10"/>
        <rFont val="宋体"/>
        <family val="3"/>
        <charset val="134"/>
      </rPr>
      <t>三亚万保实业有限公司</t>
    </r>
  </si>
  <si>
    <r>
      <rPr>
        <sz val="10"/>
        <rFont val="宋体"/>
        <family val="3"/>
        <charset val="134"/>
      </rPr>
      <t>重庆</t>
    </r>
  </si>
  <si>
    <r>
      <rPr>
        <sz val="10"/>
        <rFont val="宋体"/>
        <family val="3"/>
        <charset val="134"/>
      </rPr>
      <t>重庆永安畜牧开发有限公司</t>
    </r>
  </si>
  <si>
    <r>
      <rPr>
        <sz val="10"/>
        <rFont val="宋体"/>
        <family val="3"/>
        <charset val="134"/>
      </rPr>
      <t>四川</t>
    </r>
  </si>
  <si>
    <r>
      <rPr>
        <sz val="10"/>
        <rFont val="宋体"/>
        <family val="3"/>
        <charset val="134"/>
      </rPr>
      <t>四川高金天兆牧业有限公司</t>
    </r>
  </si>
  <si>
    <r>
      <rPr>
        <sz val="10"/>
        <rFont val="宋体"/>
        <family val="3"/>
        <charset val="134"/>
      </rPr>
      <t>四川省眉山万家好种猪繁育有限公司（松江种猪场）</t>
    </r>
  </si>
  <si>
    <r>
      <rPr>
        <sz val="10"/>
        <rFont val="宋体"/>
        <family val="3"/>
        <charset val="134"/>
      </rPr>
      <t>成都旺江农牧科技有限公司牟礼养殖基地</t>
    </r>
  </si>
  <si>
    <r>
      <rPr>
        <sz val="10"/>
        <rFont val="宋体"/>
        <family val="3"/>
        <charset val="134"/>
      </rPr>
      <t>四川新希望华西牧业有限公司（青白江牧场）</t>
    </r>
  </si>
  <si>
    <r>
      <rPr>
        <sz val="10"/>
        <rFont val="宋体"/>
        <family val="3"/>
        <charset val="134"/>
      </rPr>
      <t>肉兔</t>
    </r>
  </si>
  <si>
    <r>
      <rPr>
        <sz val="10"/>
        <rFont val="宋体"/>
        <family val="3"/>
        <charset val="134"/>
      </rPr>
      <t>井研县新茂农业科技有限公司</t>
    </r>
  </si>
  <si>
    <r>
      <rPr>
        <sz val="10"/>
        <rFont val="宋体"/>
        <family val="3"/>
        <charset val="134"/>
      </rPr>
      <t>云南</t>
    </r>
  </si>
  <si>
    <r>
      <rPr>
        <sz val="10"/>
        <rFont val="宋体"/>
        <family val="3"/>
        <charset val="134"/>
      </rPr>
      <t>云南百草地大河乌猪良种繁育有限公司</t>
    </r>
  </si>
  <si>
    <r>
      <rPr>
        <sz val="10"/>
        <rFont val="宋体"/>
        <family val="3"/>
        <charset val="134"/>
      </rPr>
      <t>怒江晨晨农业开发有限公司</t>
    </r>
  </si>
  <si>
    <r>
      <rPr>
        <sz val="10"/>
        <rFont val="宋体"/>
        <family val="3"/>
        <charset val="134"/>
      </rPr>
      <t>陕西</t>
    </r>
  </si>
  <si>
    <r>
      <rPr>
        <sz val="10"/>
        <rFont val="宋体"/>
        <family val="3"/>
        <charset val="134"/>
      </rPr>
      <t>陕西顺鑫种猪选育有限公司</t>
    </r>
  </si>
  <si>
    <r>
      <rPr>
        <sz val="10"/>
        <rFont val="宋体"/>
        <family val="3"/>
        <charset val="134"/>
      </rPr>
      <t>现代牧业（宝鸡）有限公司</t>
    </r>
  </si>
  <si>
    <r>
      <rPr>
        <sz val="10"/>
        <rFont val="宋体"/>
        <family val="3"/>
        <charset val="134"/>
      </rPr>
      <t>甘肃</t>
    </r>
  </si>
  <si>
    <r>
      <rPr>
        <sz val="10"/>
        <rFont val="宋体"/>
        <family val="3"/>
        <charset val="134"/>
      </rPr>
      <t>张掖市万禾草畜产业科技开发有限责任公司</t>
    </r>
  </si>
  <si>
    <r>
      <rPr>
        <sz val="10"/>
        <rFont val="宋体"/>
        <family val="3"/>
        <charset val="134"/>
      </rPr>
      <t>青海</t>
    </r>
  </si>
  <si>
    <r>
      <rPr>
        <sz val="10"/>
        <rFont val="宋体"/>
        <family val="3"/>
        <charset val="134"/>
      </rPr>
      <t>海东市海邦肉牛养殖专业合作社</t>
    </r>
  </si>
  <si>
    <r>
      <rPr>
        <sz val="10"/>
        <rFont val="宋体"/>
        <family val="3"/>
        <charset val="134"/>
      </rPr>
      <t>宁夏</t>
    </r>
  </si>
  <si>
    <r>
      <rPr>
        <sz val="10"/>
        <rFont val="宋体"/>
        <family val="3"/>
        <charset val="134"/>
      </rPr>
      <t>宁夏汇丰源牧业股份有限公司</t>
    </r>
  </si>
  <si>
    <r>
      <rPr>
        <sz val="10"/>
        <rFont val="宋体"/>
        <family val="3"/>
        <charset val="134"/>
      </rPr>
      <t>新疆</t>
    </r>
  </si>
  <si>
    <r>
      <rPr>
        <sz val="10"/>
        <rFont val="宋体"/>
        <family val="3"/>
        <charset val="134"/>
      </rPr>
      <t>马</t>
    </r>
  </si>
  <si>
    <r>
      <rPr>
        <sz val="10"/>
        <rFont val="宋体"/>
        <family val="3"/>
        <charset val="134"/>
      </rPr>
      <t>阿克苏地区天山肉用种羊有限责任公司</t>
    </r>
  </si>
  <si>
    <r>
      <rPr>
        <sz val="10"/>
        <rFont val="宋体"/>
        <family val="3"/>
        <charset val="134"/>
      </rPr>
      <t>新疆兵团</t>
    </r>
  </si>
  <si>
    <r>
      <rPr>
        <sz val="10"/>
        <rFont val="宋体"/>
        <family val="3"/>
        <charset val="134"/>
      </rPr>
      <t>石河子市泉旺牧业有限责任公司</t>
    </r>
  </si>
  <si>
    <r>
      <rPr>
        <sz val="10"/>
        <rFont val="宋体"/>
        <family val="3"/>
        <charset val="134"/>
      </rPr>
      <t>黑龙江农垦</t>
    </r>
  </si>
  <si>
    <r>
      <rPr>
        <sz val="10"/>
        <rFont val="宋体"/>
        <family val="3"/>
        <charset val="134"/>
      </rPr>
      <t>北安农垦金澳牧场专业合作社</t>
    </r>
  </si>
  <si>
    <t>重大动物疫病防控和安全生产能力有限</t>
  </si>
  <si>
    <t>未提供该企业的目前生产规模、生产性能水平数据等，管理和考核制度不全。</t>
  </si>
  <si>
    <t>规模较小，集约化和良种化程度低，质量安全追溯体系有待完善。</t>
  </si>
  <si>
    <t>申请材料简单，缺少现场考核结论等支撑材料。猪舍设计和建设陈旧，设施化程度低，质量安全追溯体系有待完善。</t>
  </si>
  <si>
    <t>现场考核场区环境差，病死畜禽无害化处理不够规范，信息化管理水平较低</t>
  </si>
  <si>
    <t>未见各种档案记录</t>
  </si>
  <si>
    <t>资料不清晰 ，已有和在建规模不清楚，平面图看不清厂区布局；胚蛋生产场不应在申报之列，没有生产性能数据</t>
  </si>
  <si>
    <t>申报材料不全，在养殖设施化、智能化方面存在不足，场区环境达不到标准，管理制度建设和信息化上不健全。</t>
  </si>
  <si>
    <t>生产规模及集约化、设施化、智能化等硬件建设存在不足；管理上，制度建设和信息化不健全</t>
  </si>
  <si>
    <t>申请材料陈旧，未提供该企业目前生产规模、生产性能水平数据等。</t>
  </si>
  <si>
    <t>缺少现场考核结果，管理和考核制度不全，生产水平有待提升。</t>
  </si>
  <si>
    <t>评审意见</t>
    <phoneticPr fontId="7" type="noConversion"/>
  </si>
  <si>
    <t>北票市宏发食品有限公司(东官黄古屯肉鸡养殖扶贫农场)</t>
    <phoneticPr fontId="7" type="noConversion"/>
  </si>
  <si>
    <t>邳州正大食品有限公司(岔河育成猪项目一场)</t>
    <phoneticPr fontId="7" type="noConversion"/>
  </si>
  <si>
    <t>福建圣农发展股份有限公司（虎山垅肉鸡场）</t>
    <phoneticPr fontId="7" type="noConversion"/>
  </si>
  <si>
    <t>江西朱美美现代农业研发中心有限公司玉舍分公司</t>
    <phoneticPr fontId="7" type="noConversion"/>
  </si>
  <si>
    <t>临沂忠生良种猪扩繁有限公司</t>
    <phoneticPr fontId="7" type="noConversion"/>
  </si>
  <si>
    <t>烟台福祖畜牧养殖有限公司第二分公司（谭格庄养殖场）</t>
    <phoneticPr fontId="7" type="noConversion"/>
  </si>
  <si>
    <t>福喜（威海）农牧发展有限公司（第二十六养殖场）</t>
    <phoneticPr fontId="7" type="noConversion"/>
  </si>
  <si>
    <t>山东佳盈食品有限公司（级索养殖场）</t>
    <phoneticPr fontId="7" type="noConversion"/>
  </si>
  <si>
    <t>西华牧原农牧有限公司（第六分场）</t>
    <phoneticPr fontId="7" type="noConversion"/>
  </si>
  <si>
    <t>太康牧原农牧有限公司七场</t>
    <phoneticPr fontId="7" type="noConversion"/>
  </si>
  <si>
    <t>湖南湘佳牧业股份有限公司（高桥鸡场）</t>
    <phoneticPr fontId="7" type="noConversion"/>
  </si>
  <si>
    <t>四川圣迪乐村生态食品股份有限公司（石河场）</t>
    <phoneticPr fontId="7" type="noConversion"/>
  </si>
  <si>
    <t>伊犁哈萨克自治州昭苏马场</t>
    <phoneticPr fontId="7" type="noConversion"/>
  </si>
  <si>
    <t>安徽省安泰种猪育种有限公司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</si>
</sst>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20"/>
      <name val="黑体"/>
      <family val="3"/>
      <charset val="134"/>
    </font>
    <font>
      <b/>
      <sz val="12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0" xfId="1" applyFont="1">
      <alignment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14" fillId="0" borderId="1" xfId="1" applyFont="1" applyBorder="1" applyAlignment="1">
      <alignment horizontal="left" vertical="center"/>
    </xf>
    <xf numFmtId="0" fontId="11" fillId="0" borderId="2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.xml"/><Relationship Id="rId4" Type="http://schemas.openxmlformats.org/officeDocument/2006/relationships/externalLink" Target="externalLinks/externalLink1.xml"/><Relationship Id="rId9" Type="http://schemas.openxmlformats.org/officeDocument/2006/relationships/revisionHeaders" Target="revisions/revisionHeader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cuments/WeChat%20Files/wx89052910/Files/&#25171;&#20998;&#34920;11.29&#32456;&#21407;&#22987;&#26448;&#2600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不通过"/>
      <sheetName val="通过"/>
      <sheetName val="评审结果"/>
      <sheetName val="投票表汇总"/>
      <sheetName val="第一组（殷宗俊）"/>
      <sheetName val="第二组（王立贤）"/>
      <sheetName val="第三组（丁向东）"/>
      <sheetName val="第四组（曹洪战）"/>
      <sheetName val="第五组（梅书棋）"/>
      <sheetName val="第六组（陈继兰）"/>
      <sheetName val="第七组（赵桂苹）"/>
      <sheetName val="第八组（张胜利）"/>
      <sheetName val="第九组（王雅春）"/>
      <sheetName val="第十组（马月辉）"/>
    </sheetNames>
    <sheetDataSet>
      <sheetData sheetId="0"/>
      <sheetData sheetId="1"/>
      <sheetData sheetId="2"/>
      <sheetData sheetId="3">
        <row r="2">
          <cell r="D2" t="str">
            <v>单  位</v>
          </cell>
          <cell r="E2" t="str">
            <v>畜种</v>
          </cell>
          <cell r="F2" t="str">
            <v>同意</v>
          </cell>
          <cell r="G2" t="str">
            <v>不同意</v>
          </cell>
          <cell r="H2" t="str">
            <v>结果</v>
          </cell>
        </row>
        <row r="3">
          <cell r="D3" t="str">
            <v>天津市宁河原种猪场</v>
          </cell>
          <cell r="E3" t="str">
            <v>生猪</v>
          </cell>
          <cell r="F3">
            <v>10</v>
          </cell>
          <cell r="H3" t="str">
            <v>通过</v>
          </cell>
        </row>
        <row r="4">
          <cell r="D4" t="str">
            <v>中粮家佳康（张北）有限公司</v>
          </cell>
          <cell r="E4" t="str">
            <v>生猪</v>
          </cell>
          <cell r="F4">
            <v>10</v>
          </cell>
          <cell r="H4" t="str">
            <v>通过</v>
          </cell>
        </row>
        <row r="5">
          <cell r="D5" t="str">
            <v>河北省永清县远村畜业养殖基地</v>
          </cell>
          <cell r="E5" t="str">
            <v>生猪</v>
          </cell>
          <cell r="F5">
            <v>10</v>
          </cell>
          <cell r="H5" t="str">
            <v>通过</v>
          </cell>
        </row>
        <row r="6">
          <cell r="D6" t="str">
            <v>昌黎县天惠农业科技有限公司</v>
          </cell>
          <cell r="E6" t="str">
            <v>生猪</v>
          </cell>
          <cell r="F6">
            <v>10</v>
          </cell>
          <cell r="H6" t="str">
            <v>通过</v>
          </cell>
        </row>
        <row r="7">
          <cell r="D7" t="str">
            <v>高平市神农永兴食品有限责任公司</v>
          </cell>
          <cell r="E7" t="str">
            <v>生猪</v>
          </cell>
          <cell r="F7">
            <v>10</v>
          </cell>
          <cell r="H7" t="str">
            <v>通过</v>
          </cell>
        </row>
        <row r="8">
          <cell r="D8" t="str">
            <v>山西南山百世食安农牧业有限公司</v>
          </cell>
          <cell r="E8" t="str">
            <v>生猪</v>
          </cell>
          <cell r="F8">
            <v>10</v>
          </cell>
          <cell r="H8" t="str">
            <v>通过</v>
          </cell>
        </row>
        <row r="9">
          <cell r="D9" t="str">
            <v>北镇大北农农牧食品有限公司</v>
          </cell>
          <cell r="E9" t="str">
            <v>生猪</v>
          </cell>
          <cell r="F9">
            <v>0</v>
          </cell>
          <cell r="G9">
            <v>10</v>
          </cell>
          <cell r="H9" t="str">
            <v>不通过</v>
          </cell>
        </row>
        <row r="10">
          <cell r="D10" t="str">
            <v>朝阳广硕牧业有限公司</v>
          </cell>
          <cell r="E10" t="str">
            <v>生猪</v>
          </cell>
          <cell r="F10">
            <v>9</v>
          </cell>
          <cell r="G10">
            <v>1</v>
          </cell>
          <cell r="H10" t="str">
            <v>通过</v>
          </cell>
        </row>
        <row r="11">
          <cell r="D11" t="str">
            <v>吉林省德兴探感食品有限公司</v>
          </cell>
          <cell r="E11" t="str">
            <v>生猪</v>
          </cell>
          <cell r="F11">
            <v>10</v>
          </cell>
          <cell r="H11" t="str">
            <v>通过</v>
          </cell>
        </row>
        <row r="12">
          <cell r="D12" t="str">
            <v>吉林省远鸣牧业股份有限公司</v>
          </cell>
          <cell r="E12" t="str">
            <v>生猪</v>
          </cell>
          <cell r="F12">
            <v>10</v>
          </cell>
          <cell r="H12" t="str">
            <v>通过</v>
          </cell>
        </row>
        <row r="13">
          <cell r="D13" t="str">
            <v>九江景康牧业发展有限公司</v>
          </cell>
          <cell r="E13" t="str">
            <v>生猪</v>
          </cell>
          <cell r="F13">
            <v>10</v>
          </cell>
          <cell r="H13" t="str">
            <v>通过</v>
          </cell>
        </row>
        <row r="14">
          <cell r="D14" t="str">
            <v>江苏加华种猪有限公司</v>
          </cell>
          <cell r="E14" t="str">
            <v>生猪</v>
          </cell>
          <cell r="F14">
            <v>10</v>
          </cell>
          <cell r="H14" t="str">
            <v>通过</v>
          </cell>
        </row>
        <row r="15">
          <cell r="D15" t="str">
            <v>江苏高策农牧科技有限公司</v>
          </cell>
          <cell r="E15" t="str">
            <v>生猪</v>
          </cell>
          <cell r="F15">
            <v>10</v>
          </cell>
          <cell r="H15" t="str">
            <v>通过</v>
          </cell>
        </row>
        <row r="16">
          <cell r="D16" t="str">
            <v>连云港北欧农庄生猪养殖有限公司</v>
          </cell>
          <cell r="E16" t="str">
            <v>生猪</v>
          </cell>
          <cell r="F16">
            <v>10</v>
          </cell>
          <cell r="H16" t="str">
            <v>通过</v>
          </cell>
        </row>
        <row r="17">
          <cell r="D17" t="str">
            <v>邳州正大食品有限公司</v>
          </cell>
          <cell r="E17" t="str">
            <v>生猪</v>
          </cell>
          <cell r="F17">
            <v>10</v>
          </cell>
          <cell r="H17" t="str">
            <v>通过</v>
          </cell>
        </row>
        <row r="18">
          <cell r="D18" t="str">
            <v>浙江灯塔种猪有限公司</v>
          </cell>
          <cell r="E18" t="str">
            <v>生猪</v>
          </cell>
          <cell r="F18">
            <v>10</v>
          </cell>
          <cell r="H18" t="str">
            <v>通过</v>
          </cell>
        </row>
        <row r="19">
          <cell r="D19" t="str">
            <v>浙江武义绿驰农业开发有限公司</v>
          </cell>
          <cell r="E19" t="str">
            <v>生猪</v>
          </cell>
          <cell r="F19">
            <v>10</v>
          </cell>
          <cell r="H19" t="str">
            <v>通过</v>
          </cell>
        </row>
        <row r="20">
          <cell r="D20" t="str">
            <v>安徽卜蜂畜禽有限公司颍上分公司</v>
          </cell>
          <cell r="E20" t="str">
            <v>生猪</v>
          </cell>
          <cell r="F20">
            <v>10</v>
          </cell>
          <cell r="H20" t="str">
            <v>通过</v>
          </cell>
        </row>
        <row r="21">
          <cell r="D21" t="str">
            <v>安泰种猪育种有限公司</v>
          </cell>
          <cell r="E21" t="str">
            <v>生猪</v>
          </cell>
          <cell r="F21">
            <v>10</v>
          </cell>
          <cell r="H21" t="str">
            <v>通过</v>
          </cell>
        </row>
        <row r="22">
          <cell r="D22" t="str">
            <v>福清市丰泽农牧科技开发有限公司</v>
          </cell>
          <cell r="E22" t="str">
            <v>生猪</v>
          </cell>
          <cell r="F22">
            <v>10</v>
          </cell>
          <cell r="H22" t="str">
            <v>通过</v>
          </cell>
        </row>
        <row r="23">
          <cell r="D23" t="str">
            <v>福建光华百斯特生态农牧发展有限公司</v>
          </cell>
          <cell r="E23" t="str">
            <v>生猪</v>
          </cell>
          <cell r="F23">
            <v>10</v>
          </cell>
          <cell r="H23" t="str">
            <v>通过</v>
          </cell>
        </row>
        <row r="24">
          <cell r="D24" t="str">
            <v>江西加大种猪有限公司</v>
          </cell>
          <cell r="E24" t="str">
            <v>生猪</v>
          </cell>
          <cell r="F24">
            <v>10</v>
          </cell>
          <cell r="H24" t="str">
            <v>通过</v>
          </cell>
        </row>
        <row r="25">
          <cell r="D25" t="str">
            <v>江西猪美美现代农业研发中心有限公司玉舍分公司</v>
          </cell>
          <cell r="E25" t="str">
            <v>生猪</v>
          </cell>
          <cell r="F25">
            <v>10</v>
          </cell>
          <cell r="H25" t="str">
            <v>通过</v>
          </cell>
        </row>
        <row r="26">
          <cell r="D26" t="str">
            <v>江西曾鑫生态养殖有限公司</v>
          </cell>
          <cell r="E26" t="str">
            <v>生猪</v>
          </cell>
          <cell r="F26">
            <v>0</v>
          </cell>
          <cell r="G26">
            <v>10</v>
          </cell>
          <cell r="H26" t="str">
            <v>不通过</v>
          </cell>
        </row>
        <row r="27">
          <cell r="D27" t="str">
            <v>山东临沂忠生良种猪扩繁有限公司</v>
          </cell>
          <cell r="E27" t="str">
            <v>生猪</v>
          </cell>
          <cell r="F27">
            <v>10</v>
          </cell>
          <cell r="H27" t="str">
            <v>通过</v>
          </cell>
        </row>
        <row r="28">
          <cell r="D28" t="str">
            <v>烟台福祖畜牧养殖有限公司第二分公司</v>
          </cell>
          <cell r="E28" t="str">
            <v>生猪</v>
          </cell>
          <cell r="F28">
            <v>10</v>
          </cell>
          <cell r="H28" t="str">
            <v>通过</v>
          </cell>
        </row>
        <row r="29">
          <cell r="D29" t="str">
            <v>潍坊江海原种猪场</v>
          </cell>
          <cell r="E29" t="str">
            <v>生猪</v>
          </cell>
          <cell r="F29">
            <v>10</v>
          </cell>
          <cell r="H29" t="str">
            <v>通过</v>
          </cell>
        </row>
        <row r="30">
          <cell r="D30" t="str">
            <v>山东源长牧业有限公司</v>
          </cell>
          <cell r="E30" t="str">
            <v>生猪</v>
          </cell>
          <cell r="F30">
            <v>10</v>
          </cell>
          <cell r="H30" t="str">
            <v>通过</v>
          </cell>
        </row>
        <row r="31">
          <cell r="D31" t="str">
            <v>青岛达生泽六畜牧有限公司</v>
          </cell>
          <cell r="E31" t="str">
            <v>生猪</v>
          </cell>
          <cell r="F31">
            <v>0</v>
          </cell>
          <cell r="G31">
            <v>10</v>
          </cell>
          <cell r="H31" t="str">
            <v>不通过</v>
          </cell>
        </row>
        <row r="32">
          <cell r="D32" t="str">
            <v>长葛市昌汇养殖有限公司</v>
          </cell>
          <cell r="E32" t="str">
            <v>生猪</v>
          </cell>
          <cell r="F32">
            <v>10</v>
          </cell>
          <cell r="H32" t="str">
            <v>通过</v>
          </cell>
        </row>
        <row r="33">
          <cell r="D33" t="str">
            <v>西华牧原农牧有限公司第六分厂</v>
          </cell>
          <cell r="E33" t="str">
            <v>生猪</v>
          </cell>
          <cell r="F33">
            <v>10</v>
          </cell>
          <cell r="H33" t="str">
            <v>通过</v>
          </cell>
        </row>
        <row r="34">
          <cell r="D34" t="str">
            <v>栾川青城山生态养殖园有限责任公司</v>
          </cell>
          <cell r="E34" t="str">
            <v>生猪</v>
          </cell>
          <cell r="F34">
            <v>10</v>
          </cell>
          <cell r="H34" t="str">
            <v>通过</v>
          </cell>
        </row>
        <row r="35">
          <cell r="D35" t="str">
            <v>河南天康宏展农牧科技有限公司</v>
          </cell>
          <cell r="E35" t="str">
            <v>生猪</v>
          </cell>
          <cell r="F35">
            <v>10</v>
          </cell>
          <cell r="H35" t="str">
            <v>通过</v>
          </cell>
        </row>
        <row r="36">
          <cell r="D36" t="str">
            <v>太康牧原农牧有限公司七厂</v>
          </cell>
          <cell r="E36" t="str">
            <v>生猪</v>
          </cell>
          <cell r="F36">
            <v>9</v>
          </cell>
          <cell r="G36">
            <v>1</v>
          </cell>
          <cell r="H36" t="str">
            <v>通过</v>
          </cell>
        </row>
        <row r="37">
          <cell r="D37" t="str">
            <v>方城县恒旺牧业有限公司</v>
          </cell>
          <cell r="E37" t="str">
            <v>生猪</v>
          </cell>
          <cell r="F37">
            <v>10</v>
          </cell>
          <cell r="H37" t="str">
            <v>通过</v>
          </cell>
        </row>
        <row r="38">
          <cell r="D38" t="str">
            <v>湖北省正嘉原种猪场有限公司鄂州原种猪场</v>
          </cell>
          <cell r="E38" t="str">
            <v>生猪</v>
          </cell>
          <cell r="F38">
            <v>10</v>
          </cell>
          <cell r="H38" t="str">
            <v>通过</v>
          </cell>
        </row>
        <row r="39">
          <cell r="D39" t="str">
            <v>湖北奥登农牧科技有限公司</v>
          </cell>
          <cell r="E39" t="str">
            <v>生猪</v>
          </cell>
          <cell r="F39">
            <v>10</v>
          </cell>
          <cell r="H39" t="str">
            <v>通过</v>
          </cell>
        </row>
        <row r="40">
          <cell r="D40" t="str">
            <v>咸宁市神童牧业有限责任公司</v>
          </cell>
          <cell r="E40" t="str">
            <v>生猪</v>
          </cell>
          <cell r="F40">
            <v>10</v>
          </cell>
          <cell r="H40" t="str">
            <v>通过</v>
          </cell>
        </row>
        <row r="41">
          <cell r="D41" t="str">
            <v>新湘农生态科技有限公司</v>
          </cell>
          <cell r="E41" t="str">
            <v>生猪</v>
          </cell>
          <cell r="F41">
            <v>10</v>
          </cell>
          <cell r="H41" t="str">
            <v>通过</v>
          </cell>
        </row>
        <row r="42">
          <cell r="D42" t="str">
            <v>广东东成种猪科技有限公司</v>
          </cell>
          <cell r="E42" t="str">
            <v>生猪</v>
          </cell>
          <cell r="F42">
            <v>10</v>
          </cell>
          <cell r="H42" t="str">
            <v>通过</v>
          </cell>
        </row>
        <row r="43">
          <cell r="D43" t="str">
            <v>龙川东瑞农牧发展有限公司</v>
          </cell>
          <cell r="E43" t="str">
            <v>生猪</v>
          </cell>
          <cell r="F43">
            <v>10</v>
          </cell>
          <cell r="H43" t="str">
            <v>通过</v>
          </cell>
        </row>
        <row r="44">
          <cell r="D44" t="str">
            <v>广州德胜现代农牧发展有限公司</v>
          </cell>
          <cell r="E44" t="str">
            <v>生猪</v>
          </cell>
          <cell r="F44">
            <v>10</v>
          </cell>
          <cell r="H44" t="str">
            <v>通过</v>
          </cell>
        </row>
        <row r="45">
          <cell r="D45" t="str">
            <v>梅州市凯兴现代农业发展有限公司</v>
          </cell>
          <cell r="E45" t="str">
            <v>生猪</v>
          </cell>
          <cell r="F45">
            <v>10</v>
          </cell>
          <cell r="H45" t="str">
            <v>通过</v>
          </cell>
        </row>
        <row r="46">
          <cell r="D46" t="str">
            <v>陕西顺鑫种猪选育有限公司</v>
          </cell>
          <cell r="E46" t="str">
            <v>生猪</v>
          </cell>
          <cell r="F46">
            <v>9</v>
          </cell>
          <cell r="G46">
            <v>1</v>
          </cell>
          <cell r="H46" t="str">
            <v>通过</v>
          </cell>
        </row>
        <row r="47">
          <cell r="D47" t="str">
            <v>广西泰然生态农业有限公司</v>
          </cell>
          <cell r="E47" t="str">
            <v>生猪</v>
          </cell>
          <cell r="F47">
            <v>10</v>
          </cell>
          <cell r="H47" t="str">
            <v>通过</v>
          </cell>
        </row>
        <row r="48">
          <cell r="D48" t="str">
            <v>广西扬翔农牧有限责任公司大岭种猪场</v>
          </cell>
          <cell r="E48" t="str">
            <v>生猪</v>
          </cell>
          <cell r="F48">
            <v>10</v>
          </cell>
          <cell r="H48" t="str">
            <v>通过</v>
          </cell>
        </row>
        <row r="49">
          <cell r="D49" t="str">
            <v>屯昌天之虹生态农牧有限公司</v>
          </cell>
          <cell r="E49" t="str">
            <v>生猪</v>
          </cell>
          <cell r="F49">
            <v>10</v>
          </cell>
          <cell r="H49" t="str">
            <v>通过</v>
          </cell>
        </row>
        <row r="50">
          <cell r="D50" t="str">
            <v>儋州鑫棠牧业有限公司</v>
          </cell>
          <cell r="E50" t="str">
            <v>生猪</v>
          </cell>
          <cell r="F50">
            <v>0</v>
          </cell>
          <cell r="G50">
            <v>10</v>
          </cell>
          <cell r="H50" t="str">
            <v>不通过</v>
          </cell>
        </row>
        <row r="51">
          <cell r="D51" t="str">
            <v>三亚万保实业有限公司</v>
          </cell>
          <cell r="E51" t="str">
            <v>生猪</v>
          </cell>
          <cell r="F51">
            <v>10</v>
          </cell>
          <cell r="H51" t="str">
            <v>通过</v>
          </cell>
        </row>
        <row r="52">
          <cell r="D52" t="str">
            <v>重庆永安畜牧开发有限公司</v>
          </cell>
          <cell r="E52" t="str">
            <v>生猪</v>
          </cell>
          <cell r="F52">
            <v>10</v>
          </cell>
          <cell r="H52" t="str">
            <v>通过</v>
          </cell>
        </row>
        <row r="53">
          <cell r="D53" t="str">
            <v>四川高金天兆牧业有限公司</v>
          </cell>
          <cell r="E53" t="str">
            <v>生猪</v>
          </cell>
          <cell r="F53">
            <v>10</v>
          </cell>
          <cell r="H53" t="str">
            <v>通过</v>
          </cell>
        </row>
        <row r="54">
          <cell r="D54" t="str">
            <v>四川省眉山万家好种猪繁育有限公司（松江种猪场）</v>
          </cell>
          <cell r="E54" t="str">
            <v>生猪</v>
          </cell>
          <cell r="F54">
            <v>10</v>
          </cell>
          <cell r="H54" t="str">
            <v>通过</v>
          </cell>
        </row>
        <row r="55">
          <cell r="D55" t="str">
            <v>成都旺江农牧科技有限公司牟礼养殖基地</v>
          </cell>
          <cell r="E55" t="str">
            <v>生猪</v>
          </cell>
          <cell r="F55">
            <v>10</v>
          </cell>
          <cell r="H55" t="str">
            <v>通过</v>
          </cell>
        </row>
        <row r="56">
          <cell r="D56" t="str">
            <v>贵州黔农农业科技有限公司</v>
          </cell>
          <cell r="E56" t="str">
            <v>生猪</v>
          </cell>
          <cell r="F56">
            <v>0</v>
          </cell>
          <cell r="G56">
            <v>10</v>
          </cell>
          <cell r="H56" t="str">
            <v>不通过</v>
          </cell>
        </row>
        <row r="57">
          <cell r="D57" t="str">
            <v>云南百草地大河乌猪良种繁育有限公司</v>
          </cell>
          <cell r="E57" t="str">
            <v>生猪</v>
          </cell>
          <cell r="F57">
            <v>10</v>
          </cell>
          <cell r="H57" t="str">
            <v>通过</v>
          </cell>
        </row>
        <row r="58">
          <cell r="D58" t="str">
            <v>北粮农业股份有限公司</v>
          </cell>
          <cell r="E58" t="str">
            <v>蛋鸡</v>
          </cell>
          <cell r="F58">
            <v>10</v>
          </cell>
          <cell r="H58" t="str">
            <v>通过</v>
          </cell>
        </row>
        <row r="59">
          <cell r="D59" t="str">
            <v>平山县西柏坡五丰蛋鸡养殖专业合作社</v>
          </cell>
          <cell r="E59" t="str">
            <v>蛋鸡</v>
          </cell>
          <cell r="F59">
            <v>10</v>
          </cell>
          <cell r="H59" t="str">
            <v>通过</v>
          </cell>
        </row>
        <row r="60">
          <cell r="D60" t="str">
            <v>涉县华裕家禽育种有限公司</v>
          </cell>
          <cell r="E60" t="str">
            <v>蛋鸡</v>
          </cell>
          <cell r="F60">
            <v>10</v>
          </cell>
          <cell r="H60" t="str">
            <v>通过</v>
          </cell>
        </row>
        <row r="61">
          <cell r="D61" t="str">
            <v>山西晋龙养殖股份有限公司</v>
          </cell>
          <cell r="E61" t="str">
            <v>蛋鸡</v>
          </cell>
          <cell r="F61">
            <v>10</v>
          </cell>
          <cell r="H61" t="str">
            <v>通过</v>
          </cell>
        </row>
        <row r="62">
          <cell r="D62" t="str">
            <v>沈阳华美畜禽有限公司</v>
          </cell>
          <cell r="E62" t="str">
            <v>蛋鸡</v>
          </cell>
          <cell r="F62">
            <v>10</v>
          </cell>
          <cell r="H62" t="str">
            <v>通过</v>
          </cell>
        </row>
        <row r="63">
          <cell r="D63" t="str">
            <v>大连韩伟养鸡有限公司旅顺分司</v>
          </cell>
          <cell r="E63" t="str">
            <v>蛋鸡</v>
          </cell>
          <cell r="F63">
            <v>10</v>
          </cell>
          <cell r="H63" t="str">
            <v>通过</v>
          </cell>
        </row>
        <row r="64">
          <cell r="D64" t="str">
            <v>慈溪市新浦益大养鸡场</v>
          </cell>
          <cell r="E64" t="str">
            <v>蛋鸡</v>
          </cell>
          <cell r="F64">
            <v>10</v>
          </cell>
          <cell r="H64" t="str">
            <v>通过</v>
          </cell>
        </row>
        <row r="65">
          <cell r="D65" t="str">
            <v>黄山德青源种禽有限公司</v>
          </cell>
          <cell r="E65" t="str">
            <v>蛋鸡</v>
          </cell>
          <cell r="F65">
            <v>10</v>
          </cell>
          <cell r="H65" t="str">
            <v>通过</v>
          </cell>
        </row>
        <row r="66">
          <cell r="D66" t="str">
            <v>安徽圣迪乐村生态食品有限公司</v>
          </cell>
          <cell r="E66" t="str">
            <v>蛋鸡</v>
          </cell>
          <cell r="F66">
            <v>10</v>
          </cell>
          <cell r="H66" t="str">
            <v>通过</v>
          </cell>
        </row>
        <row r="67">
          <cell r="D67" t="str">
            <v>江西东华种畜禽有限公司</v>
          </cell>
          <cell r="E67" t="str">
            <v>蛋鸡</v>
          </cell>
          <cell r="F67">
            <v>10</v>
          </cell>
          <cell r="H67" t="str">
            <v>通过</v>
          </cell>
        </row>
        <row r="68">
          <cell r="D68" t="str">
            <v>江西华裕家禽育种有限公司黄泥种鸡场</v>
          </cell>
          <cell r="E68" t="str">
            <v>蛋鸡</v>
          </cell>
          <cell r="F68">
            <v>10</v>
          </cell>
          <cell r="H68" t="str">
            <v>通过</v>
          </cell>
        </row>
        <row r="69">
          <cell r="D69" t="str">
            <v>济南安普瑞禽业科技有限公司</v>
          </cell>
          <cell r="E69" t="str">
            <v>蛋鸡</v>
          </cell>
          <cell r="F69">
            <v>8</v>
          </cell>
          <cell r="G69">
            <v>2</v>
          </cell>
          <cell r="H69" t="str">
            <v>通过</v>
          </cell>
        </row>
        <row r="70">
          <cell r="D70" t="str">
            <v>新乡市长寿蛋业有限公司</v>
          </cell>
          <cell r="E70" t="str">
            <v>蛋鸡</v>
          </cell>
          <cell r="F70">
            <v>0</v>
          </cell>
          <cell r="G70">
            <v>10</v>
          </cell>
          <cell r="H70" t="str">
            <v>不通过</v>
          </cell>
        </row>
        <row r="71">
          <cell r="D71" t="str">
            <v>鹤壁市绿洲牧业有限公司</v>
          </cell>
          <cell r="E71" t="str">
            <v>蛋鸡</v>
          </cell>
          <cell r="F71">
            <v>6</v>
          </cell>
          <cell r="G71">
            <v>4</v>
          </cell>
          <cell r="H71" t="str">
            <v>不通过</v>
          </cell>
        </row>
        <row r="72">
          <cell r="D72" t="str">
            <v>台山市赛科农业技术有限公司</v>
          </cell>
          <cell r="E72" t="str">
            <v>蛋鸡</v>
          </cell>
          <cell r="F72">
            <v>6</v>
          </cell>
          <cell r="G72">
            <v>4</v>
          </cell>
          <cell r="H72" t="str">
            <v>不通过</v>
          </cell>
        </row>
        <row r="73">
          <cell r="D73" t="str">
            <v>四川圣迪乐村生态食品股份有限公司（石河蛋鸡场）</v>
          </cell>
          <cell r="E73" t="str">
            <v>蛋鸡</v>
          </cell>
          <cell r="F73">
            <v>10</v>
          </cell>
          <cell r="H73" t="str">
            <v>通过</v>
          </cell>
        </row>
        <row r="74">
          <cell r="D74" t="str">
            <v>怒江晨晨农业开发有限公司</v>
          </cell>
          <cell r="E74" t="str">
            <v>蛋鸡</v>
          </cell>
          <cell r="F74">
            <v>10</v>
          </cell>
          <cell r="H74" t="str">
            <v>通过</v>
          </cell>
        </row>
        <row r="75">
          <cell r="D75" t="str">
            <v>晋中市金尚牧业开发有限公司</v>
          </cell>
          <cell r="E75" t="str">
            <v>肉鸡</v>
          </cell>
          <cell r="F75">
            <v>10</v>
          </cell>
          <cell r="H75" t="str">
            <v>通过</v>
          </cell>
        </row>
        <row r="76">
          <cell r="D76" t="str">
            <v>丹东耘垦养殖有限公司</v>
          </cell>
          <cell r="E76" t="str">
            <v>肉鸡</v>
          </cell>
          <cell r="F76">
            <v>10</v>
          </cell>
          <cell r="H76" t="str">
            <v>通过</v>
          </cell>
        </row>
        <row r="77">
          <cell r="D77" t="str">
            <v>北票市宏发食品有限公司东官黄古屯肉鸡养殖扶贫农场</v>
          </cell>
          <cell r="E77" t="str">
            <v>肉鸡</v>
          </cell>
          <cell r="F77">
            <v>10</v>
          </cell>
          <cell r="H77" t="str">
            <v>通过</v>
          </cell>
        </row>
        <row r="78">
          <cell r="D78" t="str">
            <v>福建圣农发展股份有限公司</v>
          </cell>
          <cell r="E78" t="str">
            <v>肉鸡</v>
          </cell>
          <cell r="F78">
            <v>10</v>
          </cell>
          <cell r="H78" t="str">
            <v>通过</v>
          </cell>
        </row>
        <row r="79">
          <cell r="D79" t="str">
            <v>福喜（威海）农牧发展有限公司</v>
          </cell>
          <cell r="E79" t="str">
            <v>肉鸡</v>
          </cell>
          <cell r="F79">
            <v>10</v>
          </cell>
          <cell r="H79" t="str">
            <v>通过</v>
          </cell>
        </row>
        <row r="80">
          <cell r="D80" t="str">
            <v>山东佳盈食品有限公司</v>
          </cell>
          <cell r="E80" t="str">
            <v>肉鸡</v>
          </cell>
          <cell r="F80">
            <v>10</v>
          </cell>
          <cell r="H80" t="str">
            <v>通过</v>
          </cell>
        </row>
        <row r="81">
          <cell r="D81" t="str">
            <v>青岛广河农牧科技有限公司</v>
          </cell>
          <cell r="E81" t="str">
            <v>肉鸡</v>
          </cell>
          <cell r="F81">
            <v>10</v>
          </cell>
          <cell r="H81" t="str">
            <v>通过</v>
          </cell>
        </row>
        <row r="82">
          <cell r="D82" t="str">
            <v>湖南湘佳牧业股份有限公司</v>
          </cell>
          <cell r="E82" t="str">
            <v>肉鸡</v>
          </cell>
          <cell r="F82">
            <v>10</v>
          </cell>
          <cell r="H82" t="str">
            <v>通过</v>
          </cell>
        </row>
        <row r="83">
          <cell r="D83" t="str">
            <v>广西鸿光农牧有限公司木坪鸡场</v>
          </cell>
          <cell r="E83" t="str">
            <v>肉鸡</v>
          </cell>
          <cell r="F83">
            <v>10</v>
          </cell>
          <cell r="H83" t="str">
            <v>通过</v>
          </cell>
        </row>
        <row r="84">
          <cell r="D84" t="str">
            <v>淮安温氏畜牧有限公司</v>
          </cell>
          <cell r="E84" t="str">
            <v>番鸭</v>
          </cell>
          <cell r="F84">
            <v>10</v>
          </cell>
          <cell r="H84" t="str">
            <v>通过</v>
          </cell>
        </row>
        <row r="85">
          <cell r="D85" t="str">
            <v>保定双丰牧业有限公司</v>
          </cell>
          <cell r="E85" t="str">
            <v>奶牛</v>
          </cell>
          <cell r="F85">
            <v>10</v>
          </cell>
          <cell r="G85">
            <v>0</v>
          </cell>
          <cell r="H85" t="str">
            <v>通过</v>
          </cell>
        </row>
        <row r="86">
          <cell r="D86" t="str">
            <v>河北首农现代农业科技有限公司</v>
          </cell>
          <cell r="E86" t="str">
            <v>奶牛</v>
          </cell>
          <cell r="F86">
            <v>10</v>
          </cell>
          <cell r="H86" t="str">
            <v>通过</v>
          </cell>
        </row>
        <row r="87">
          <cell r="D87" t="str">
            <v>山西仁德牧业有限责任公司</v>
          </cell>
          <cell r="E87" t="str">
            <v>奶牛</v>
          </cell>
          <cell r="F87">
            <v>10</v>
          </cell>
          <cell r="H87" t="str">
            <v>通过</v>
          </cell>
        </row>
        <row r="88">
          <cell r="D88" t="str">
            <v>大同市南郊区四方高科农牧有限公司</v>
          </cell>
          <cell r="E88" t="str">
            <v>奶牛</v>
          </cell>
          <cell r="F88">
            <v>10</v>
          </cell>
          <cell r="H88" t="str">
            <v>通过</v>
          </cell>
        </row>
        <row r="89">
          <cell r="D89" t="str">
            <v>巴彦淖尔市圣牧盘古牧业有限责任公司</v>
          </cell>
          <cell r="E89" t="str">
            <v>奶牛</v>
          </cell>
          <cell r="F89">
            <v>10</v>
          </cell>
          <cell r="H89" t="str">
            <v>通过</v>
          </cell>
        </row>
        <row r="90">
          <cell r="D90" t="str">
            <v>内蒙古富源牧业（托县）有限责任公司</v>
          </cell>
          <cell r="E90" t="str">
            <v>奶牛</v>
          </cell>
          <cell r="F90">
            <v>10</v>
          </cell>
          <cell r="H90" t="str">
            <v>通过</v>
          </cell>
        </row>
        <row r="91">
          <cell r="D91" t="str">
            <v>山东大地乳业有限公司</v>
          </cell>
          <cell r="E91" t="str">
            <v>奶牛</v>
          </cell>
          <cell r="F91">
            <v>10</v>
          </cell>
          <cell r="H91" t="str">
            <v>通过</v>
          </cell>
        </row>
        <row r="92">
          <cell r="D92" t="str">
            <v>河南花花牛畜牧科技有限公司</v>
          </cell>
          <cell r="E92" t="str">
            <v>奶牛</v>
          </cell>
          <cell r="F92">
            <v>10</v>
          </cell>
          <cell r="H92" t="str">
            <v>通过</v>
          </cell>
        </row>
        <row r="93">
          <cell r="D93" t="str">
            <v>新蔡瑞亚牧业有限公司</v>
          </cell>
          <cell r="E93" t="str">
            <v>奶牛</v>
          </cell>
          <cell r="F93">
            <v>10</v>
          </cell>
          <cell r="H93" t="str">
            <v>通过</v>
          </cell>
        </row>
        <row r="94">
          <cell r="D94" t="str">
            <v>四川新希望华西牧业有限公司（青白江牧场）</v>
          </cell>
          <cell r="E94" t="str">
            <v>奶牛</v>
          </cell>
          <cell r="F94">
            <v>10</v>
          </cell>
          <cell r="H94" t="str">
            <v>通过</v>
          </cell>
        </row>
        <row r="95">
          <cell r="D95" t="str">
            <v>现代牧业（宝鸡）有限公司</v>
          </cell>
          <cell r="E95" t="str">
            <v>奶牛</v>
          </cell>
          <cell r="F95">
            <v>10</v>
          </cell>
          <cell r="H95" t="str">
            <v>通过</v>
          </cell>
        </row>
        <row r="96">
          <cell r="D96" t="str">
            <v>宁夏汇丰源牧业股份有限公司</v>
          </cell>
          <cell r="E96" t="str">
            <v>奶牛</v>
          </cell>
          <cell r="F96">
            <v>10</v>
          </cell>
          <cell r="H96" t="str">
            <v>通过</v>
          </cell>
        </row>
        <row r="97">
          <cell r="D97" t="str">
            <v>昌吉市正飞牛业养殖有限责任公司</v>
          </cell>
          <cell r="E97" t="str">
            <v>奶牛</v>
          </cell>
          <cell r="F97">
            <v>0</v>
          </cell>
          <cell r="G97">
            <v>10</v>
          </cell>
          <cell r="H97" t="str">
            <v>不通过</v>
          </cell>
        </row>
        <row r="98">
          <cell r="D98" t="str">
            <v>承德华商恒益农业开发有限公司</v>
          </cell>
          <cell r="E98" t="str">
            <v>肉牛</v>
          </cell>
          <cell r="F98">
            <v>10</v>
          </cell>
          <cell r="H98" t="str">
            <v>通过</v>
          </cell>
        </row>
        <row r="99">
          <cell r="D99" t="str">
            <v>通辽市洪泰农业发展有限公司</v>
          </cell>
          <cell r="E99" t="str">
            <v>肉牛</v>
          </cell>
          <cell r="F99">
            <v>10</v>
          </cell>
          <cell r="H99" t="str">
            <v>通过</v>
          </cell>
        </row>
        <row r="100">
          <cell r="D100" t="str">
            <v>凌源市牧兴农业开发有限公司</v>
          </cell>
          <cell r="E100" t="str">
            <v>肉牛</v>
          </cell>
          <cell r="F100">
            <v>5</v>
          </cell>
          <cell r="G100">
            <v>5</v>
          </cell>
          <cell r="H100" t="str">
            <v>不通过</v>
          </cell>
        </row>
        <row r="101">
          <cell r="D101" t="str">
            <v>延边东盛黄牛资源保种有限公司</v>
          </cell>
          <cell r="E101" t="str">
            <v>肉牛</v>
          </cell>
          <cell r="F101">
            <v>10</v>
          </cell>
          <cell r="H101" t="str">
            <v>通过</v>
          </cell>
        </row>
        <row r="102">
          <cell r="D102" t="str">
            <v>梁山县宏育源畜牧养殖专业和作社</v>
          </cell>
          <cell r="E102" t="str">
            <v>肉牛</v>
          </cell>
          <cell r="F102">
            <v>10</v>
          </cell>
          <cell r="H102" t="str">
            <v>通过</v>
          </cell>
        </row>
        <row r="103">
          <cell r="D103" t="str">
            <v>湖北丰联佳沃农业开发有限公司</v>
          </cell>
          <cell r="E103" t="str">
            <v>肉牛</v>
          </cell>
          <cell r="F103">
            <v>10</v>
          </cell>
          <cell r="H103" t="str">
            <v>通过</v>
          </cell>
        </row>
        <row r="104">
          <cell r="D104" t="str">
            <v>京山绿林农牧科技有限公司</v>
          </cell>
          <cell r="E104" t="str">
            <v>肉牛</v>
          </cell>
          <cell r="F104">
            <v>10</v>
          </cell>
          <cell r="H104" t="str">
            <v>通过</v>
          </cell>
        </row>
        <row r="105">
          <cell r="D105" t="str">
            <v>张掖市万禾草畜产业科技开发有限责任公司</v>
          </cell>
          <cell r="E105" t="str">
            <v>肉牛</v>
          </cell>
          <cell r="F105">
            <v>10</v>
          </cell>
          <cell r="H105" t="str">
            <v>通过</v>
          </cell>
        </row>
        <row r="106">
          <cell r="D106" t="str">
            <v>海晏高原藏区牦牛养殖专业合作社</v>
          </cell>
          <cell r="E106" t="str">
            <v>肉牛、奶牛</v>
          </cell>
          <cell r="F106">
            <v>4</v>
          </cell>
          <cell r="G106">
            <v>6</v>
          </cell>
          <cell r="H106" t="str">
            <v>不通过</v>
          </cell>
        </row>
        <row r="107">
          <cell r="D107" t="str">
            <v>海东市海邦肉牛养殖专业合作社</v>
          </cell>
          <cell r="E107" t="str">
            <v>肉牛</v>
          </cell>
          <cell r="F107">
            <v>10</v>
          </cell>
          <cell r="H107" t="str">
            <v>通过</v>
          </cell>
        </row>
        <row r="108">
          <cell r="D108" t="str">
            <v>北安农垦金澳牧场专业合作社</v>
          </cell>
          <cell r="E108" t="str">
            <v>奶牛</v>
          </cell>
          <cell r="F108">
            <v>10</v>
          </cell>
          <cell r="H108" t="str">
            <v>通过</v>
          </cell>
        </row>
        <row r="109">
          <cell r="D109" t="str">
            <v>石河子市泉旺牧业有限责任公司</v>
          </cell>
          <cell r="E109" t="str">
            <v>奶牛</v>
          </cell>
          <cell r="F109">
            <v>9</v>
          </cell>
          <cell r="G109">
            <v>1</v>
          </cell>
          <cell r="H109" t="str">
            <v>通过</v>
          </cell>
        </row>
        <row r="110">
          <cell r="D110" t="str">
            <v>河北欣苑农业开发股份有限公司</v>
          </cell>
          <cell r="E110" t="str">
            <v>肉羊</v>
          </cell>
          <cell r="F110">
            <v>10</v>
          </cell>
          <cell r="H110" t="str">
            <v>通过</v>
          </cell>
        </row>
        <row r="111">
          <cell r="D111" t="str">
            <v>内蒙古富川养殖科技股份有限公司</v>
          </cell>
          <cell r="E111" t="str">
            <v>肉羊</v>
          </cell>
          <cell r="F111">
            <v>10</v>
          </cell>
          <cell r="H111" t="str">
            <v>通过</v>
          </cell>
        </row>
        <row r="112">
          <cell r="D112" t="str">
            <v>临清润林牧业有限公司</v>
          </cell>
          <cell r="E112" t="str">
            <v>肉羊</v>
          </cell>
          <cell r="F112">
            <v>10</v>
          </cell>
          <cell r="H112" t="str">
            <v>通过</v>
          </cell>
        </row>
        <row r="113">
          <cell r="D113" t="str">
            <v>内蒙古乐科生物技术有限公司</v>
          </cell>
          <cell r="E113" t="str">
            <v>肉羊</v>
          </cell>
          <cell r="F113">
            <v>10</v>
          </cell>
          <cell r="H113" t="str">
            <v>通过</v>
          </cell>
        </row>
        <row r="114">
          <cell r="D114" t="str">
            <v>阿克苏地区天山肉用种羊有限责任公司</v>
          </cell>
          <cell r="E114" t="str">
            <v>肉羊</v>
          </cell>
          <cell r="F114">
            <v>9</v>
          </cell>
          <cell r="G114">
            <v>1</v>
          </cell>
          <cell r="H114" t="str">
            <v>通过</v>
          </cell>
        </row>
        <row r="115">
          <cell r="D115" t="str">
            <v>内蒙古草原同源牧业有限公司</v>
          </cell>
          <cell r="E115" t="str">
            <v>驴</v>
          </cell>
          <cell r="F115">
            <v>10</v>
          </cell>
          <cell r="H115" t="str">
            <v>通过</v>
          </cell>
        </row>
        <row r="116">
          <cell r="D116" t="str">
            <v>新疆伊犁哈萨克自治州昭苏马场</v>
          </cell>
          <cell r="E116" t="str">
            <v>马</v>
          </cell>
          <cell r="F116">
            <v>10</v>
          </cell>
          <cell r="H116" t="str">
            <v>通过</v>
          </cell>
        </row>
        <row r="117">
          <cell r="D117" t="str">
            <v>缙云县阿贤家庭农场</v>
          </cell>
          <cell r="E117" t="str">
            <v>蜜蜂</v>
          </cell>
          <cell r="F117">
            <v>10</v>
          </cell>
          <cell r="H117" t="str">
            <v>通过</v>
          </cell>
        </row>
        <row r="118">
          <cell r="D118" t="str">
            <v>井研县新茂农业科技有限公司</v>
          </cell>
          <cell r="E118" t="str">
            <v>肉兔</v>
          </cell>
          <cell r="F118">
            <v>10</v>
          </cell>
          <cell r="H118" t="str">
            <v>通过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5.xml"/><Relationship Id="rId9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05DDD19-BC76-46FA-B390-51BF80A40EB2}" diskRevisions="1" revisionId="46" version="5">
  <header guid="{8606DE75-320B-47AB-977F-40B0489ACD4A}" dateTime="2021-08-26T18:16:29" maxSheetId="4" userName="hotmail hhp" r:id="rId8">
    <sheetIdMap count="3">
      <sheetId val="1"/>
      <sheetId val="2"/>
      <sheetId val="3"/>
    </sheetIdMap>
  </header>
  <header guid="{205DDD19-BC76-46FA-B390-51BF80A40EB2}" dateTime="2021-08-27T11:06:47" maxSheetId="4" userName="hotmail hhp" r:id="rId9" minRId="46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" sId="1" ref="A1:XFD1" action="deleteRow">
    <undo index="65535" exp="area" ref3D="1" dr="$A$1:$E$107" dn="Z_F2009304_EFC4_4EBE_90DB_85EC541381FF_.wvu.PrintArea" sId="1"/>
    <undo index="65535" exp="area" ref3D="1" dr="$A$2:$XFD$2" dn="Z_F2009304_EFC4_4EBE_90DB_85EC541381FF_.wvu.PrintTitles" sId="1"/>
    <undo index="65535" exp="area" ref3D="1" dr="$A$2:$XFD$2" dn="Z_107DE7A0_3DAF_478A_9BAF_3C691FA9A2FF_.wvu.PrintTitles" sId="1"/>
    <undo index="65535" exp="area" ref3D="1" dr="$A$1:$E$107" dn="Z_107DE7A0_3DAF_478A_9BAF_3C691FA9A2FF_.wvu.PrintArea" sId="1"/>
    <undo index="65535" exp="area" ref3D="1" dr="$A$2:$XFD$2" dn="Z_DE54F411_5CCD_43D3_8A8B_1D3258F3AEB4_.wvu.PrintTitles" sId="1"/>
    <undo index="65535" exp="area" ref3D="1" dr="$A$1:$E$107" dn="Z_DE54F411_5CCD_43D3_8A8B_1D3258F3AEB4_.wvu.PrintArea" sId="1"/>
    <undo index="65535" exp="area" ref3D="1" dr="$A$1:$E$107" dn="Print_Area" sId="1"/>
    <undo index="65535" exp="area" ref3D="1" dr="$A$2:$XFD$2" dn="Z_BF41293E_5BFA_400A_AA68_530EAC246496_.wvu.PrintTitles" sId="1"/>
    <undo index="65535" exp="area" ref3D="1" dr="$A$2:$XFD$2" dn="Print_Titles" sId="1"/>
    <undo index="65535" exp="area" ref3D="1" dr="$A$1:$E$107" dn="Z_BF41293E_5BFA_400A_AA68_530EAC246496_.wvu.PrintArea" sId="1"/>
    <rfmt sheetId="1" xfDxf="1" s="1" sqref="A1:XFD1" start="0" length="0">
      <dxf>
        <font>
          <b val="0"/>
          <i val="0"/>
          <strike val="0"/>
          <condense val="0"/>
          <extend val="0"/>
          <outline val="0"/>
          <shadow val="0"/>
          <u val="none"/>
          <vertAlign val="baseline"/>
          <sz val="11"/>
          <color auto="1"/>
          <name val="宋体"/>
          <family val="3"/>
          <charset val="134"/>
          <scheme val="minor"/>
        </font>
        <numFmt numFmtId="0" formatCode="General"/>
        <fill>
          <patternFill patternType="none">
            <fgColor indexed="64"/>
            <bgColor indexed="65"/>
          </patternFill>
        </fill>
        <alignment horizontal="general" vertical="center" textRotation="0" wrapText="0" indent="0" justifyLastLine="0" shrinkToFit="0" readingOrder="0"/>
        <border diagonalUp="0" diagonalDown="0" outline="0">
          <left/>
          <right/>
          <top/>
          <bottom/>
        </border>
        <protection locked="1" hidden="0"/>
      </dxf>
    </rfmt>
    <rcc rId="0" sId="1" dxf="1">
      <nc r="A1" t="inlineStr">
        <is>
          <r>
            <t>2018</t>
          </r>
          <r>
            <rPr>
              <sz val="20"/>
              <rFont val="黑体"/>
              <family val="3"/>
              <charset val="134"/>
            </rPr>
            <t>年畜禽养殖标准化示范场名单</t>
          </r>
        </is>
      </nc>
      <ndxf>
        <font>
          <sz val="20"/>
          <color auto="1"/>
          <name val="Times New Roman"/>
          <family val="1"/>
          <scheme val="none"/>
        </font>
        <alignment horizontal="center" vertical="top"/>
        <border outline="0">
          <bottom style="thin">
            <color auto="1"/>
          </bottom>
        </border>
      </ndxf>
    </rcc>
    <rfmt sheetId="1" sqref="B1" start="0" length="0">
      <dxf>
        <font>
          <sz val="20"/>
          <color auto="1"/>
          <name val="Times New Roman"/>
          <family val="1"/>
          <scheme val="none"/>
        </font>
        <alignment horizontal="center" vertical="top"/>
        <border outline="0">
          <bottom style="thin">
            <color auto="1"/>
          </bottom>
        </border>
      </dxf>
    </rfmt>
    <rfmt sheetId="1" sqref="C1" start="0" length="0">
      <dxf>
        <font>
          <sz val="20"/>
          <color auto="1"/>
          <name val="Times New Roman"/>
          <family val="1"/>
          <scheme val="none"/>
        </font>
        <alignment horizontal="center" vertical="top"/>
        <border outline="0">
          <bottom style="thin">
            <color auto="1"/>
          </bottom>
        </border>
      </dxf>
    </rfmt>
    <rfmt sheetId="1" sqref="D1" start="0" length="0">
      <dxf>
        <font>
          <sz val="20"/>
          <color auto="1"/>
          <name val="Times New Roman"/>
          <family val="1"/>
          <scheme val="none"/>
        </font>
        <alignment horizontal="center" vertical="top"/>
        <border outline="0">
          <bottom style="thin">
            <color auto="1"/>
          </bottom>
        </border>
      </dxf>
    </rfmt>
    <rfmt sheetId="1" sqref="E1" start="0" length="0">
      <dxf>
        <font>
          <sz val="20"/>
          <color auto="1"/>
          <name val="Times New Roman"/>
          <family val="1"/>
          <scheme val="none"/>
        </font>
        <alignment horizontal="center" vertical="top"/>
        <border outline="0">
          <bottom style="thin">
            <color auto="1"/>
          </bottom>
        </border>
      </dxf>
    </rfmt>
  </rr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107DE7A0_3DAF_478A_9BAF_3C691FA9A2FF_.wvu.PrintArea" hidden="1" oldHidden="1">
    <formula>通过!$A$1:$E$107</formula>
  </rdn>
  <rdn rId="0" localSheetId="1" customView="1" name="Z_107DE7A0_3DAF_478A_9BAF_3C691FA9A2FF_.wvu.PrintTitles" hidden="1" oldHidden="1">
    <formula>通过!$2:$2</formula>
  </rdn>
  <rdn rId="0" localSheetId="1" customView="1" name="Z_107DE7A0_3DAF_478A_9BAF_3C691FA9A2FF_.wvu.FilterData" hidden="1" oldHidden="1">
    <formula>通过!$B$2:$U$107</formula>
  </rdn>
  <rdn rId="0" localSheetId="2" customView="1" name="Z_107DE7A0_3DAF_478A_9BAF_3C691FA9A2FF_.wvu.PrintArea" hidden="1" oldHidden="1">
    <formula>不通过!$A$1:$F$13</formula>
  </rdn>
  <rdn rId="0" localSheetId="2" customView="1" name="Z_107DE7A0_3DAF_478A_9BAF_3C691FA9A2FF_.wvu.FilterData" hidden="1" oldHidden="1">
    <formula>不通过!$B$2:$V$13</formula>
  </rdn>
  <rdn rId="0" localSheetId="3" customView="1" name="Z_107DE7A0_3DAF_478A_9BAF_3C691FA9A2FF_.wvu.PrintArea" hidden="1" oldHidden="1">
    <formula>评审结果!$A$1:$E$118</formula>
  </rdn>
  <rdn rId="0" localSheetId="3" customView="1" name="Z_107DE7A0_3DAF_478A_9BAF_3C691FA9A2FF_.wvu.FilterData" hidden="1" oldHidden="1">
    <formula>评审结果!$A$2:$U$118</formula>
  </rdn>
  <rcv guid="{107DE7A0-3DAF-478A-9BAF-3C691FA9A2F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E13" sqref="E13"/>
    </sheetView>
  </sheetViews>
  <sheetFormatPr defaultColWidth="9" defaultRowHeight="13.5" x14ac:dyDescent="0.15"/>
  <cols>
    <col min="1" max="1" width="7.125" style="1" customWidth="1"/>
    <col min="2" max="2" width="10.5" style="1" customWidth="1"/>
    <col min="3" max="3" width="7.5" style="1" customWidth="1"/>
    <col min="4" max="4" width="7.875" style="1" customWidth="1"/>
    <col min="5" max="5" width="43.5" style="1" customWidth="1"/>
    <col min="6" max="16384" width="9" style="1"/>
  </cols>
  <sheetData>
    <row r="1" spans="1:7" ht="18.600000000000001" customHeight="1" x14ac:dyDescent="0.15">
      <c r="A1" s="15" t="s">
        <v>167</v>
      </c>
      <c r="B1" s="15" t="s">
        <v>168</v>
      </c>
      <c r="C1" s="16" t="s">
        <v>169</v>
      </c>
      <c r="D1" s="15" t="s">
        <v>170</v>
      </c>
      <c r="E1" s="15" t="s">
        <v>171</v>
      </c>
    </row>
    <row r="2" spans="1:7" ht="14.25" customHeight="1" x14ac:dyDescent="0.15">
      <c r="A2" s="17">
        <v>1</v>
      </c>
      <c r="B2" s="17" t="s">
        <v>172</v>
      </c>
      <c r="C2" s="17">
        <v>1</v>
      </c>
      <c r="D2" s="17" t="s">
        <v>173</v>
      </c>
      <c r="E2" s="18" t="s">
        <v>174</v>
      </c>
      <c r="G2" s="8"/>
    </row>
    <row r="3" spans="1:7" ht="14.25" customHeight="1" x14ac:dyDescent="0.15">
      <c r="A3" s="17">
        <v>2</v>
      </c>
      <c r="B3" s="24" t="s">
        <v>175</v>
      </c>
      <c r="C3" s="17">
        <v>1</v>
      </c>
      <c r="D3" s="17" t="s">
        <v>173</v>
      </c>
      <c r="E3" s="18" t="s">
        <v>176</v>
      </c>
      <c r="G3" s="8"/>
    </row>
    <row r="4" spans="1:7" ht="14.25" customHeight="1" x14ac:dyDescent="0.15">
      <c r="A4" s="17">
        <v>3</v>
      </c>
      <c r="B4" s="26"/>
      <c r="C4" s="17">
        <v>2</v>
      </c>
      <c r="D4" s="17" t="s">
        <v>173</v>
      </c>
      <c r="E4" s="18" t="s">
        <v>177</v>
      </c>
    </row>
    <row r="5" spans="1:7" ht="14.25" customHeight="1" x14ac:dyDescent="0.15">
      <c r="A5" s="17">
        <v>4</v>
      </c>
      <c r="B5" s="26"/>
      <c r="C5" s="17">
        <v>3</v>
      </c>
      <c r="D5" s="17" t="s">
        <v>173</v>
      </c>
      <c r="E5" s="18" t="s">
        <v>178</v>
      </c>
    </row>
    <row r="6" spans="1:7" ht="14.25" customHeight="1" x14ac:dyDescent="0.15">
      <c r="A6" s="17">
        <v>5</v>
      </c>
      <c r="B6" s="26"/>
      <c r="C6" s="17">
        <v>4</v>
      </c>
      <c r="D6" s="17" t="s">
        <v>179</v>
      </c>
      <c r="E6" s="18" t="s">
        <v>180</v>
      </c>
    </row>
    <row r="7" spans="1:7" ht="14.25" customHeight="1" x14ac:dyDescent="0.15">
      <c r="A7" s="17">
        <v>6</v>
      </c>
      <c r="B7" s="26"/>
      <c r="C7" s="17">
        <v>5</v>
      </c>
      <c r="D7" s="17" t="s">
        <v>179</v>
      </c>
      <c r="E7" s="18" t="s">
        <v>181</v>
      </c>
    </row>
    <row r="8" spans="1:7" ht="14.25" customHeight="1" x14ac:dyDescent="0.15">
      <c r="A8" s="17">
        <v>7</v>
      </c>
      <c r="B8" s="26"/>
      <c r="C8" s="17">
        <v>6</v>
      </c>
      <c r="D8" s="17" t="s">
        <v>179</v>
      </c>
      <c r="E8" s="18" t="s">
        <v>182</v>
      </c>
    </row>
    <row r="9" spans="1:7" ht="14.25" customHeight="1" x14ac:dyDescent="0.15">
      <c r="A9" s="17">
        <v>8</v>
      </c>
      <c r="B9" s="26"/>
      <c r="C9" s="17">
        <v>7</v>
      </c>
      <c r="D9" s="17" t="s">
        <v>183</v>
      </c>
      <c r="E9" s="18" t="s">
        <v>184</v>
      </c>
    </row>
    <row r="10" spans="1:7" ht="14.25" customHeight="1" x14ac:dyDescent="0.15">
      <c r="A10" s="17">
        <v>9</v>
      </c>
      <c r="B10" s="26"/>
      <c r="C10" s="17">
        <v>8</v>
      </c>
      <c r="D10" s="17" t="s">
        <v>183</v>
      </c>
      <c r="E10" s="18" t="s">
        <v>185</v>
      </c>
    </row>
    <row r="11" spans="1:7" ht="14.25" customHeight="1" x14ac:dyDescent="0.15">
      <c r="A11" s="17">
        <v>10</v>
      </c>
      <c r="B11" s="26"/>
      <c r="C11" s="17">
        <v>9</v>
      </c>
      <c r="D11" s="17" t="s">
        <v>183</v>
      </c>
      <c r="E11" s="18" t="s">
        <v>186</v>
      </c>
    </row>
    <row r="12" spans="1:7" ht="14.25" customHeight="1" x14ac:dyDescent="0.15">
      <c r="A12" s="17">
        <v>11</v>
      </c>
      <c r="B12" s="25"/>
      <c r="C12" s="17">
        <v>10</v>
      </c>
      <c r="D12" s="17" t="s">
        <v>187</v>
      </c>
      <c r="E12" s="18" t="s">
        <v>188</v>
      </c>
    </row>
    <row r="13" spans="1:7" ht="14.25" customHeight="1" x14ac:dyDescent="0.15">
      <c r="A13" s="17">
        <v>12</v>
      </c>
      <c r="B13" s="24" t="s">
        <v>189</v>
      </c>
      <c r="C13" s="17">
        <v>1</v>
      </c>
      <c r="D13" s="17" t="s">
        <v>173</v>
      </c>
      <c r="E13" s="18" t="s">
        <v>190</v>
      </c>
    </row>
    <row r="14" spans="1:7" ht="14.25" customHeight="1" x14ac:dyDescent="0.15">
      <c r="A14" s="17">
        <v>13</v>
      </c>
      <c r="B14" s="26"/>
      <c r="C14" s="17">
        <v>2</v>
      </c>
      <c r="D14" s="17" t="s">
        <v>173</v>
      </c>
      <c r="E14" s="18" t="s">
        <v>191</v>
      </c>
    </row>
    <row r="15" spans="1:7" ht="14.25" customHeight="1" x14ac:dyDescent="0.15">
      <c r="A15" s="17">
        <v>14</v>
      </c>
      <c r="B15" s="26"/>
      <c r="C15" s="17">
        <v>3</v>
      </c>
      <c r="D15" s="17" t="s">
        <v>192</v>
      </c>
      <c r="E15" s="18" t="s">
        <v>193</v>
      </c>
    </row>
    <row r="16" spans="1:7" ht="14.25" customHeight="1" x14ac:dyDescent="0.15">
      <c r="A16" s="17">
        <v>15</v>
      </c>
      <c r="B16" s="26"/>
      <c r="C16" s="17">
        <v>4</v>
      </c>
      <c r="D16" s="17" t="s">
        <v>179</v>
      </c>
      <c r="E16" s="18" t="s">
        <v>194</v>
      </c>
    </row>
    <row r="17" spans="1:5" ht="14.25" customHeight="1" x14ac:dyDescent="0.15">
      <c r="A17" s="17">
        <v>16</v>
      </c>
      <c r="B17" s="26"/>
      <c r="C17" s="17">
        <v>5</v>
      </c>
      <c r="D17" s="17" t="s">
        <v>183</v>
      </c>
      <c r="E17" s="18" t="s">
        <v>195</v>
      </c>
    </row>
    <row r="18" spans="1:5" ht="14.25" customHeight="1" x14ac:dyDescent="0.15">
      <c r="A18" s="17">
        <v>17</v>
      </c>
      <c r="B18" s="25"/>
      <c r="C18" s="17">
        <v>6</v>
      </c>
      <c r="D18" s="17" t="s">
        <v>183</v>
      </c>
      <c r="E18" s="18" t="s">
        <v>196</v>
      </c>
    </row>
    <row r="19" spans="1:5" ht="14.25" customHeight="1" x14ac:dyDescent="0.15">
      <c r="A19" s="17">
        <v>18</v>
      </c>
      <c r="B19" s="24" t="s">
        <v>197</v>
      </c>
      <c r="C19" s="17">
        <v>1</v>
      </c>
      <c r="D19" s="17" t="s">
        <v>183</v>
      </c>
      <c r="E19" s="18" t="s">
        <v>198</v>
      </c>
    </row>
    <row r="20" spans="1:5" ht="14.25" customHeight="1" x14ac:dyDescent="0.15">
      <c r="A20" s="17">
        <v>19</v>
      </c>
      <c r="B20" s="26"/>
      <c r="C20" s="17">
        <v>2</v>
      </c>
      <c r="D20" s="17" t="s">
        <v>183</v>
      </c>
      <c r="E20" s="18" t="s">
        <v>199</v>
      </c>
    </row>
    <row r="21" spans="1:5" ht="14.25" customHeight="1" x14ac:dyDescent="0.15">
      <c r="A21" s="17">
        <v>20</v>
      </c>
      <c r="B21" s="26"/>
      <c r="C21" s="17">
        <v>3</v>
      </c>
      <c r="D21" s="17" t="s">
        <v>200</v>
      </c>
      <c r="E21" s="18" t="s">
        <v>201</v>
      </c>
    </row>
    <row r="22" spans="1:5" ht="14.25" customHeight="1" x14ac:dyDescent="0.15">
      <c r="A22" s="17">
        <v>21</v>
      </c>
      <c r="B22" s="26"/>
      <c r="C22" s="17">
        <v>4</v>
      </c>
      <c r="D22" s="17" t="s">
        <v>187</v>
      </c>
      <c r="E22" s="18" t="s">
        <v>202</v>
      </c>
    </row>
    <row r="23" spans="1:5" ht="14.25" customHeight="1" x14ac:dyDescent="0.15">
      <c r="A23" s="17">
        <v>22</v>
      </c>
      <c r="B23" s="26"/>
      <c r="C23" s="17">
        <v>5</v>
      </c>
      <c r="D23" s="17" t="s">
        <v>203</v>
      </c>
      <c r="E23" s="18" t="s">
        <v>204</v>
      </c>
    </row>
    <row r="24" spans="1:5" ht="14.25" customHeight="1" x14ac:dyDescent="0.15">
      <c r="A24" s="17">
        <v>23</v>
      </c>
      <c r="B24" s="25"/>
      <c r="C24" s="17">
        <v>6</v>
      </c>
      <c r="D24" s="17" t="s">
        <v>205</v>
      </c>
      <c r="E24" s="18" t="s">
        <v>206</v>
      </c>
    </row>
    <row r="25" spans="1:5" ht="14.25" customHeight="1" x14ac:dyDescent="0.15">
      <c r="A25" s="17">
        <v>24</v>
      </c>
      <c r="B25" s="24" t="s">
        <v>207</v>
      </c>
      <c r="C25" s="17">
        <v>1</v>
      </c>
      <c r="D25" s="17" t="s">
        <v>173</v>
      </c>
      <c r="E25" s="18" t="s">
        <v>208</v>
      </c>
    </row>
    <row r="26" spans="1:5" ht="14.25" customHeight="1" x14ac:dyDescent="0.15">
      <c r="A26" s="17">
        <v>25</v>
      </c>
      <c r="B26" s="26"/>
      <c r="C26" s="17">
        <v>2</v>
      </c>
      <c r="D26" s="17" t="s">
        <v>179</v>
      </c>
      <c r="E26" s="18" t="s">
        <v>209</v>
      </c>
    </row>
    <row r="27" spans="1:5" ht="14.25" customHeight="1" x14ac:dyDescent="0.15">
      <c r="A27" s="17">
        <v>26</v>
      </c>
      <c r="B27" s="26"/>
      <c r="C27" s="17">
        <v>3</v>
      </c>
      <c r="D27" s="17" t="s">
        <v>192</v>
      </c>
      <c r="E27" s="18" t="s">
        <v>210</v>
      </c>
    </row>
    <row r="28" spans="1:5" ht="14.25" customHeight="1" x14ac:dyDescent="0.15">
      <c r="A28" s="17">
        <v>27</v>
      </c>
      <c r="B28" s="25"/>
      <c r="C28" s="17">
        <v>4</v>
      </c>
      <c r="D28" s="17" t="s">
        <v>192</v>
      </c>
      <c r="E28" s="23" t="s">
        <v>317</v>
      </c>
    </row>
    <row r="29" spans="1:5" ht="14.25" customHeight="1" x14ac:dyDescent="0.15">
      <c r="A29" s="17">
        <v>28</v>
      </c>
      <c r="B29" s="17" t="s">
        <v>211</v>
      </c>
      <c r="C29" s="17">
        <v>1</v>
      </c>
      <c r="D29" s="17" t="s">
        <v>179</v>
      </c>
      <c r="E29" s="18" t="s">
        <v>212</v>
      </c>
    </row>
    <row r="30" spans="1:5" ht="14.25" customHeight="1" x14ac:dyDescent="0.15">
      <c r="A30" s="17">
        <v>29</v>
      </c>
      <c r="B30" s="24" t="s">
        <v>213</v>
      </c>
      <c r="C30" s="17">
        <v>1</v>
      </c>
      <c r="D30" s="17" t="s">
        <v>173</v>
      </c>
      <c r="E30" s="18" t="s">
        <v>214</v>
      </c>
    </row>
    <row r="31" spans="1:5" ht="14.25" customHeight="1" x14ac:dyDescent="0.15">
      <c r="A31" s="17">
        <v>30</v>
      </c>
      <c r="B31" s="26"/>
      <c r="C31" s="17">
        <v>2</v>
      </c>
      <c r="D31" s="17" t="s">
        <v>173</v>
      </c>
      <c r="E31" s="18" t="s">
        <v>215</v>
      </c>
    </row>
    <row r="32" spans="1:5" ht="14.25" customHeight="1" x14ac:dyDescent="0.15">
      <c r="A32" s="17">
        <v>31</v>
      </c>
      <c r="B32" s="25"/>
      <c r="C32" s="17">
        <v>3</v>
      </c>
      <c r="D32" s="17" t="s">
        <v>200</v>
      </c>
      <c r="E32" s="18" t="s">
        <v>216</v>
      </c>
    </row>
    <row r="33" spans="1:5" ht="14.25" customHeight="1" x14ac:dyDescent="0.15">
      <c r="A33" s="17">
        <v>32</v>
      </c>
      <c r="B33" s="24" t="s">
        <v>217</v>
      </c>
      <c r="C33" s="17">
        <v>1</v>
      </c>
      <c r="D33" s="17" t="s">
        <v>173</v>
      </c>
      <c r="E33" s="18" t="s">
        <v>218</v>
      </c>
    </row>
    <row r="34" spans="1:5" ht="14.25" customHeight="1" x14ac:dyDescent="0.15">
      <c r="A34" s="17">
        <v>33</v>
      </c>
      <c r="B34" s="26"/>
      <c r="C34" s="17">
        <v>2</v>
      </c>
      <c r="D34" s="17" t="s">
        <v>173</v>
      </c>
      <c r="E34" s="18" t="s">
        <v>219</v>
      </c>
    </row>
    <row r="35" spans="1:5" ht="14.25" customHeight="1" x14ac:dyDescent="0.15">
      <c r="A35" s="17">
        <v>34</v>
      </c>
      <c r="B35" s="26"/>
      <c r="C35" s="17">
        <v>3</v>
      </c>
      <c r="D35" s="17" t="s">
        <v>173</v>
      </c>
      <c r="E35" s="18" t="s">
        <v>220</v>
      </c>
    </row>
    <row r="36" spans="1:5" ht="14.25" customHeight="1" x14ac:dyDescent="0.15">
      <c r="A36" s="17">
        <v>35</v>
      </c>
      <c r="B36" s="26"/>
      <c r="C36" s="17">
        <v>4</v>
      </c>
      <c r="D36" s="17" t="s">
        <v>173</v>
      </c>
      <c r="E36" s="23" t="s">
        <v>318</v>
      </c>
    </row>
    <row r="37" spans="1:5" ht="14.25" customHeight="1" x14ac:dyDescent="0.15">
      <c r="A37" s="17">
        <v>36</v>
      </c>
      <c r="B37" s="25"/>
      <c r="C37" s="17">
        <v>5</v>
      </c>
      <c r="D37" s="17" t="s">
        <v>221</v>
      </c>
      <c r="E37" s="18" t="s">
        <v>222</v>
      </c>
    </row>
    <row r="38" spans="1:5" ht="14.25" customHeight="1" x14ac:dyDescent="0.15">
      <c r="A38" s="17">
        <v>37</v>
      </c>
      <c r="B38" s="24" t="s">
        <v>223</v>
      </c>
      <c r="C38" s="17">
        <v>1</v>
      </c>
      <c r="D38" s="17" t="s">
        <v>173</v>
      </c>
      <c r="E38" s="18" t="s">
        <v>224</v>
      </c>
    </row>
    <row r="39" spans="1:5" ht="14.25" customHeight="1" x14ac:dyDescent="0.15">
      <c r="A39" s="17">
        <v>38</v>
      </c>
      <c r="B39" s="26"/>
      <c r="C39" s="17">
        <v>2</v>
      </c>
      <c r="D39" s="17" t="s">
        <v>173</v>
      </c>
      <c r="E39" s="18" t="s">
        <v>225</v>
      </c>
    </row>
    <row r="40" spans="1:5" ht="14.25" customHeight="1" x14ac:dyDescent="0.15">
      <c r="A40" s="17">
        <v>39</v>
      </c>
      <c r="B40" s="26"/>
      <c r="C40" s="17">
        <v>3</v>
      </c>
      <c r="D40" s="17" t="s">
        <v>179</v>
      </c>
      <c r="E40" s="18" t="s">
        <v>226</v>
      </c>
    </row>
    <row r="41" spans="1:5" ht="14.25" customHeight="1" x14ac:dyDescent="0.15">
      <c r="A41" s="17">
        <v>40</v>
      </c>
      <c r="B41" s="25"/>
      <c r="C41" s="17">
        <v>4</v>
      </c>
      <c r="D41" s="17" t="s">
        <v>227</v>
      </c>
      <c r="E41" s="18" t="s">
        <v>228</v>
      </c>
    </row>
    <row r="42" spans="1:5" ht="14.25" customHeight="1" x14ac:dyDescent="0.15">
      <c r="A42" s="17">
        <v>41</v>
      </c>
      <c r="B42" s="24" t="s">
        <v>229</v>
      </c>
      <c r="C42" s="17">
        <v>1</v>
      </c>
      <c r="D42" s="17" t="s">
        <v>173</v>
      </c>
      <c r="E42" s="18" t="s">
        <v>230</v>
      </c>
    </row>
    <row r="43" spans="1:5" ht="14.25" customHeight="1" x14ac:dyDescent="0.15">
      <c r="A43" s="17">
        <v>42</v>
      </c>
      <c r="B43" s="26"/>
      <c r="C43" s="17">
        <v>2</v>
      </c>
      <c r="D43" s="17" t="s">
        <v>173</v>
      </c>
      <c r="E43" s="23" t="s">
        <v>330</v>
      </c>
    </row>
    <row r="44" spans="1:5" ht="14.25" customHeight="1" x14ac:dyDescent="0.15">
      <c r="A44" s="17">
        <v>43</v>
      </c>
      <c r="B44" s="26"/>
      <c r="C44" s="17">
        <v>3</v>
      </c>
      <c r="D44" s="17" t="s">
        <v>179</v>
      </c>
      <c r="E44" s="18" t="s">
        <v>231</v>
      </c>
    </row>
    <row r="45" spans="1:5" ht="14.25" customHeight="1" x14ac:dyDescent="0.15">
      <c r="A45" s="17">
        <v>44</v>
      </c>
      <c r="B45" s="25"/>
      <c r="C45" s="17">
        <v>4</v>
      </c>
      <c r="D45" s="17" t="s">
        <v>179</v>
      </c>
      <c r="E45" s="18" t="s">
        <v>232</v>
      </c>
    </row>
    <row r="46" spans="1:5" ht="14.25" customHeight="1" x14ac:dyDescent="0.15">
      <c r="A46" s="17">
        <v>45</v>
      </c>
      <c r="B46" s="24" t="s">
        <v>233</v>
      </c>
      <c r="C46" s="17">
        <v>1</v>
      </c>
      <c r="D46" s="17" t="s">
        <v>173</v>
      </c>
      <c r="E46" s="18" t="s">
        <v>234</v>
      </c>
    </row>
    <row r="47" spans="1:5" ht="14.25" customHeight="1" x14ac:dyDescent="0.15">
      <c r="A47" s="17">
        <v>46</v>
      </c>
      <c r="B47" s="26"/>
      <c r="C47" s="17">
        <v>2</v>
      </c>
      <c r="D47" s="17" t="s">
        <v>173</v>
      </c>
      <c r="E47" s="18" t="s">
        <v>235</v>
      </c>
    </row>
    <row r="48" spans="1:5" ht="14.25" customHeight="1" x14ac:dyDescent="0.15">
      <c r="A48" s="17">
        <v>47</v>
      </c>
      <c r="B48" s="25"/>
      <c r="C48" s="17">
        <v>3</v>
      </c>
      <c r="D48" s="17" t="s">
        <v>192</v>
      </c>
      <c r="E48" s="23" t="s">
        <v>319</v>
      </c>
    </row>
    <row r="49" spans="1:5" ht="14.25" customHeight="1" x14ac:dyDescent="0.15">
      <c r="A49" s="17">
        <v>48</v>
      </c>
      <c r="B49" s="24" t="s">
        <v>236</v>
      </c>
      <c r="C49" s="17">
        <v>1</v>
      </c>
      <c r="D49" s="17" t="s">
        <v>173</v>
      </c>
      <c r="E49" s="18" t="s">
        <v>237</v>
      </c>
    </row>
    <row r="50" spans="1:5" ht="14.25" customHeight="1" x14ac:dyDescent="0.15">
      <c r="A50" s="17">
        <v>49</v>
      </c>
      <c r="B50" s="26"/>
      <c r="C50" s="17">
        <v>2</v>
      </c>
      <c r="D50" s="17" t="s">
        <v>173</v>
      </c>
      <c r="E50" s="18" t="s">
        <v>238</v>
      </c>
    </row>
    <row r="51" spans="1:5" ht="14.25" customHeight="1" x14ac:dyDescent="0.15">
      <c r="A51" s="17">
        <v>50</v>
      </c>
      <c r="B51" s="26"/>
      <c r="C51" s="17">
        <v>3</v>
      </c>
      <c r="D51" s="17" t="s">
        <v>173</v>
      </c>
      <c r="E51" s="23" t="s">
        <v>320</v>
      </c>
    </row>
    <row r="52" spans="1:5" ht="14.25" customHeight="1" x14ac:dyDescent="0.15">
      <c r="A52" s="17">
        <v>51</v>
      </c>
      <c r="B52" s="26"/>
      <c r="C52" s="17">
        <v>4</v>
      </c>
      <c r="D52" s="17" t="s">
        <v>179</v>
      </c>
      <c r="E52" s="18" t="s">
        <v>239</v>
      </c>
    </row>
    <row r="53" spans="1:5" ht="14.25" customHeight="1" x14ac:dyDescent="0.15">
      <c r="A53" s="17">
        <v>52</v>
      </c>
      <c r="B53" s="25"/>
      <c r="C53" s="17">
        <v>5</v>
      </c>
      <c r="D53" s="17" t="s">
        <v>179</v>
      </c>
      <c r="E53" s="18" t="s">
        <v>240</v>
      </c>
    </row>
    <row r="54" spans="1:5" ht="14.25" customHeight="1" x14ac:dyDescent="0.15">
      <c r="A54" s="17">
        <v>53</v>
      </c>
      <c r="B54" s="24" t="s">
        <v>241</v>
      </c>
      <c r="C54" s="17">
        <v>1</v>
      </c>
      <c r="D54" s="17" t="s">
        <v>173</v>
      </c>
      <c r="E54" s="23" t="s">
        <v>321</v>
      </c>
    </row>
    <row r="55" spans="1:5" ht="14.25" customHeight="1" x14ac:dyDescent="0.15">
      <c r="A55" s="17">
        <v>54</v>
      </c>
      <c r="B55" s="26"/>
      <c r="C55" s="17">
        <v>2</v>
      </c>
      <c r="D55" s="17" t="s">
        <v>173</v>
      </c>
      <c r="E55" s="23" t="s">
        <v>322</v>
      </c>
    </row>
    <row r="56" spans="1:5" ht="14.25" customHeight="1" x14ac:dyDescent="0.15">
      <c r="A56" s="17">
        <v>55</v>
      </c>
      <c r="B56" s="26"/>
      <c r="C56" s="17">
        <v>3</v>
      </c>
      <c r="D56" s="17" t="s">
        <v>173</v>
      </c>
      <c r="E56" s="18" t="s">
        <v>242</v>
      </c>
    </row>
    <row r="57" spans="1:5" ht="14.25" customHeight="1" x14ac:dyDescent="0.15">
      <c r="A57" s="17">
        <v>56</v>
      </c>
      <c r="B57" s="26"/>
      <c r="C57" s="17">
        <v>4</v>
      </c>
      <c r="D57" s="17" t="s">
        <v>173</v>
      </c>
      <c r="E57" s="18" t="s">
        <v>243</v>
      </c>
    </row>
    <row r="58" spans="1:5" ht="14.25" customHeight="1" x14ac:dyDescent="0.15">
      <c r="A58" s="17">
        <v>57</v>
      </c>
      <c r="B58" s="26"/>
      <c r="C58" s="17">
        <v>5</v>
      </c>
      <c r="D58" s="17" t="s">
        <v>179</v>
      </c>
      <c r="E58" s="18" t="s">
        <v>244</v>
      </c>
    </row>
    <row r="59" spans="1:5" ht="14.25" customHeight="1" x14ac:dyDescent="0.15">
      <c r="A59" s="17">
        <v>58</v>
      </c>
      <c r="B59" s="26"/>
      <c r="C59" s="17">
        <v>6</v>
      </c>
      <c r="D59" s="17" t="s">
        <v>192</v>
      </c>
      <c r="E59" s="23" t="s">
        <v>323</v>
      </c>
    </row>
    <row r="60" spans="1:5" ht="14.25" customHeight="1" x14ac:dyDescent="0.15">
      <c r="A60" s="17">
        <v>59</v>
      </c>
      <c r="B60" s="26"/>
      <c r="C60" s="17">
        <v>7</v>
      </c>
      <c r="D60" s="17" t="s">
        <v>192</v>
      </c>
      <c r="E60" s="23" t="s">
        <v>324</v>
      </c>
    </row>
    <row r="61" spans="1:5" ht="14.25" customHeight="1" x14ac:dyDescent="0.15">
      <c r="A61" s="17">
        <v>60</v>
      </c>
      <c r="B61" s="26"/>
      <c r="C61" s="17">
        <v>8</v>
      </c>
      <c r="D61" s="17" t="s">
        <v>200</v>
      </c>
      <c r="E61" s="18" t="s">
        <v>245</v>
      </c>
    </row>
    <row r="62" spans="1:5" ht="14.25" customHeight="1" x14ac:dyDescent="0.15">
      <c r="A62" s="17">
        <v>61</v>
      </c>
      <c r="B62" s="26"/>
      <c r="C62" s="17">
        <v>9</v>
      </c>
      <c r="D62" s="17" t="s">
        <v>183</v>
      </c>
      <c r="E62" s="18" t="s">
        <v>246</v>
      </c>
    </row>
    <row r="63" spans="1:5" ht="14.25" customHeight="1" x14ac:dyDescent="0.15">
      <c r="A63" s="17">
        <v>62</v>
      </c>
      <c r="B63" s="25"/>
      <c r="C63" s="17">
        <v>10</v>
      </c>
      <c r="D63" s="19" t="s">
        <v>187</v>
      </c>
      <c r="E63" s="20" t="s">
        <v>247</v>
      </c>
    </row>
    <row r="64" spans="1:5" ht="14.25" customHeight="1" x14ac:dyDescent="0.15">
      <c r="A64" s="17">
        <v>63</v>
      </c>
      <c r="B64" s="17" t="s">
        <v>248</v>
      </c>
      <c r="C64" s="17">
        <v>1</v>
      </c>
      <c r="D64" s="19" t="s">
        <v>192</v>
      </c>
      <c r="E64" s="20" t="s">
        <v>249</v>
      </c>
    </row>
    <row r="65" spans="1:5" ht="14.25" customHeight="1" x14ac:dyDescent="0.15">
      <c r="A65" s="17">
        <v>64</v>
      </c>
      <c r="B65" s="24" t="s">
        <v>250</v>
      </c>
      <c r="C65" s="17">
        <v>1</v>
      </c>
      <c r="D65" s="17" t="s">
        <v>173</v>
      </c>
      <c r="E65" s="18" t="s">
        <v>251</v>
      </c>
    </row>
    <row r="66" spans="1:5" ht="14.25" customHeight="1" x14ac:dyDescent="0.15">
      <c r="A66" s="17">
        <v>65</v>
      </c>
      <c r="B66" s="26"/>
      <c r="C66" s="17">
        <v>2</v>
      </c>
      <c r="D66" s="17" t="s">
        <v>173</v>
      </c>
      <c r="E66" s="23" t="s">
        <v>325</v>
      </c>
    </row>
    <row r="67" spans="1:5" ht="14.25" customHeight="1" x14ac:dyDescent="0.15">
      <c r="A67" s="17">
        <v>66</v>
      </c>
      <c r="B67" s="26"/>
      <c r="C67" s="17">
        <v>3</v>
      </c>
      <c r="D67" s="17" t="s">
        <v>173</v>
      </c>
      <c r="E67" s="18" t="s">
        <v>252</v>
      </c>
    </row>
    <row r="68" spans="1:5" ht="14.25" customHeight="1" x14ac:dyDescent="0.15">
      <c r="A68" s="17">
        <v>67</v>
      </c>
      <c r="B68" s="26"/>
      <c r="C68" s="17">
        <v>4</v>
      </c>
      <c r="D68" s="17" t="s">
        <v>173</v>
      </c>
      <c r="E68" s="18" t="s">
        <v>253</v>
      </c>
    </row>
    <row r="69" spans="1:5" ht="14.25" customHeight="1" x14ac:dyDescent="0.15">
      <c r="A69" s="17">
        <v>68</v>
      </c>
      <c r="B69" s="26"/>
      <c r="C69" s="17">
        <v>5</v>
      </c>
      <c r="D69" s="17" t="s">
        <v>173</v>
      </c>
      <c r="E69" s="23" t="s">
        <v>326</v>
      </c>
    </row>
    <row r="70" spans="1:5" ht="14.25" customHeight="1" x14ac:dyDescent="0.15">
      <c r="A70" s="17">
        <v>69</v>
      </c>
      <c r="B70" s="26"/>
      <c r="C70" s="17">
        <v>6</v>
      </c>
      <c r="D70" s="17" t="s">
        <v>173</v>
      </c>
      <c r="E70" s="18" t="s">
        <v>254</v>
      </c>
    </row>
    <row r="71" spans="1:5" ht="14.25" customHeight="1" x14ac:dyDescent="0.15">
      <c r="A71" s="17">
        <v>70</v>
      </c>
      <c r="B71" s="26"/>
      <c r="C71" s="17">
        <v>7</v>
      </c>
      <c r="D71" s="17" t="s">
        <v>183</v>
      </c>
      <c r="E71" s="18" t="s">
        <v>255</v>
      </c>
    </row>
    <row r="72" spans="1:5" ht="14.25" customHeight="1" x14ac:dyDescent="0.15">
      <c r="A72" s="17">
        <v>71</v>
      </c>
      <c r="B72" s="25"/>
      <c r="C72" s="17">
        <v>8</v>
      </c>
      <c r="D72" s="17" t="s">
        <v>183</v>
      </c>
      <c r="E72" s="18" t="s">
        <v>256</v>
      </c>
    </row>
    <row r="73" spans="1:5" ht="14.25" customHeight="1" x14ac:dyDescent="0.15">
      <c r="A73" s="17">
        <v>72</v>
      </c>
      <c r="B73" s="24" t="s">
        <v>257</v>
      </c>
      <c r="C73" s="17">
        <v>1</v>
      </c>
      <c r="D73" s="17" t="s">
        <v>173</v>
      </c>
      <c r="E73" s="18" t="s">
        <v>258</v>
      </c>
    </row>
    <row r="74" spans="1:5" ht="14.25" customHeight="1" x14ac:dyDescent="0.15">
      <c r="A74" s="17">
        <v>73</v>
      </c>
      <c r="B74" s="26"/>
      <c r="C74" s="17">
        <v>2</v>
      </c>
      <c r="D74" s="17" t="s">
        <v>173</v>
      </c>
      <c r="E74" s="18" t="s">
        <v>259</v>
      </c>
    </row>
    <row r="75" spans="1:5" ht="14.25" customHeight="1" x14ac:dyDescent="0.15">
      <c r="A75" s="17">
        <v>74</v>
      </c>
      <c r="B75" s="26"/>
      <c r="C75" s="17">
        <v>3</v>
      </c>
      <c r="D75" s="17" t="s">
        <v>173</v>
      </c>
      <c r="E75" s="18" t="s">
        <v>260</v>
      </c>
    </row>
    <row r="76" spans="1:5" ht="14.25" customHeight="1" x14ac:dyDescent="0.15">
      <c r="A76" s="17">
        <v>75</v>
      </c>
      <c r="B76" s="26"/>
      <c r="C76" s="17">
        <v>4</v>
      </c>
      <c r="D76" s="17" t="s">
        <v>200</v>
      </c>
      <c r="E76" s="18" t="s">
        <v>261</v>
      </c>
    </row>
    <row r="77" spans="1:5" ht="14.25" customHeight="1" x14ac:dyDescent="0.15">
      <c r="A77" s="17">
        <v>76</v>
      </c>
      <c r="B77" s="25"/>
      <c r="C77" s="17">
        <v>5</v>
      </c>
      <c r="D77" s="17" t="s">
        <v>200</v>
      </c>
      <c r="E77" s="18" t="s">
        <v>262</v>
      </c>
    </row>
    <row r="78" spans="1:5" ht="14.25" customHeight="1" x14ac:dyDescent="0.15">
      <c r="A78" s="17">
        <v>77</v>
      </c>
      <c r="B78" s="24" t="s">
        <v>263</v>
      </c>
      <c r="C78" s="17">
        <v>1</v>
      </c>
      <c r="D78" s="17" t="s">
        <v>173</v>
      </c>
      <c r="E78" s="18" t="s">
        <v>264</v>
      </c>
    </row>
    <row r="79" spans="1:5" ht="14.25" customHeight="1" x14ac:dyDescent="0.15">
      <c r="A79" s="17">
        <v>78</v>
      </c>
      <c r="B79" s="25"/>
      <c r="C79" s="17">
        <v>2</v>
      </c>
      <c r="D79" s="17" t="s">
        <v>192</v>
      </c>
      <c r="E79" s="23" t="s">
        <v>327</v>
      </c>
    </row>
    <row r="80" spans="1:5" ht="14.25" customHeight="1" x14ac:dyDescent="0.15">
      <c r="A80" s="17">
        <v>79</v>
      </c>
      <c r="B80" s="24" t="s">
        <v>265</v>
      </c>
      <c r="C80" s="17">
        <v>1</v>
      </c>
      <c r="D80" s="17" t="s">
        <v>173</v>
      </c>
      <c r="E80" s="18" t="s">
        <v>266</v>
      </c>
    </row>
    <row r="81" spans="1:5" ht="14.25" customHeight="1" x14ac:dyDescent="0.15">
      <c r="A81" s="17">
        <v>80</v>
      </c>
      <c r="B81" s="26"/>
      <c r="C81" s="17">
        <v>2</v>
      </c>
      <c r="D81" s="17" t="s">
        <v>173</v>
      </c>
      <c r="E81" s="18" t="s">
        <v>267</v>
      </c>
    </row>
    <row r="82" spans="1:5" ht="14.25" customHeight="1" x14ac:dyDescent="0.15">
      <c r="A82" s="17">
        <v>81</v>
      </c>
      <c r="B82" s="26"/>
      <c r="C82" s="17">
        <v>3</v>
      </c>
      <c r="D82" s="17" t="s">
        <v>173</v>
      </c>
      <c r="E82" s="18" t="s">
        <v>268</v>
      </c>
    </row>
    <row r="83" spans="1:5" ht="14.25" customHeight="1" x14ac:dyDescent="0.15">
      <c r="A83" s="17">
        <v>82</v>
      </c>
      <c r="B83" s="25"/>
      <c r="C83" s="17">
        <v>4</v>
      </c>
      <c r="D83" s="17" t="s">
        <v>173</v>
      </c>
      <c r="E83" s="18" t="s">
        <v>269</v>
      </c>
    </row>
    <row r="84" spans="1:5" ht="14.25" customHeight="1" x14ac:dyDescent="0.15">
      <c r="A84" s="17">
        <v>83</v>
      </c>
      <c r="B84" s="24" t="s">
        <v>270</v>
      </c>
      <c r="C84" s="17">
        <v>1</v>
      </c>
      <c r="D84" s="17" t="s">
        <v>173</v>
      </c>
      <c r="E84" s="18" t="s">
        <v>271</v>
      </c>
    </row>
    <row r="85" spans="1:5" ht="14.25" customHeight="1" x14ac:dyDescent="0.15">
      <c r="A85" s="17">
        <v>84</v>
      </c>
      <c r="B85" s="26"/>
      <c r="C85" s="17">
        <v>2</v>
      </c>
      <c r="D85" s="17" t="s">
        <v>173</v>
      </c>
      <c r="E85" s="18" t="s">
        <v>272</v>
      </c>
    </row>
    <row r="86" spans="1:5" ht="14.25" customHeight="1" x14ac:dyDescent="0.15">
      <c r="A86" s="17">
        <v>85</v>
      </c>
      <c r="B86" s="25"/>
      <c r="C86" s="17">
        <v>3</v>
      </c>
      <c r="D86" s="17" t="s">
        <v>192</v>
      </c>
      <c r="E86" s="18" t="s">
        <v>273</v>
      </c>
    </row>
    <row r="87" spans="1:5" ht="14.25" customHeight="1" x14ac:dyDescent="0.15">
      <c r="A87" s="17">
        <v>86</v>
      </c>
      <c r="B87" s="24" t="s">
        <v>274</v>
      </c>
      <c r="C87" s="17">
        <v>1</v>
      </c>
      <c r="D87" s="17" t="s">
        <v>173</v>
      </c>
      <c r="E87" s="18" t="s">
        <v>275</v>
      </c>
    </row>
    <row r="88" spans="1:5" ht="14.25" customHeight="1" x14ac:dyDescent="0.15">
      <c r="A88" s="17">
        <v>87</v>
      </c>
      <c r="B88" s="25"/>
      <c r="C88" s="17">
        <v>2</v>
      </c>
      <c r="D88" s="17" t="s">
        <v>173</v>
      </c>
      <c r="E88" s="18" t="s">
        <v>276</v>
      </c>
    </row>
    <row r="89" spans="1:5" ht="14.25" customHeight="1" x14ac:dyDescent="0.15">
      <c r="A89" s="17">
        <v>88</v>
      </c>
      <c r="B89" s="17" t="s">
        <v>277</v>
      </c>
      <c r="C89" s="17">
        <v>1</v>
      </c>
      <c r="D89" s="17" t="s">
        <v>173</v>
      </c>
      <c r="E89" s="18" t="s">
        <v>278</v>
      </c>
    </row>
    <row r="90" spans="1:5" ht="14.25" customHeight="1" x14ac:dyDescent="0.15">
      <c r="A90" s="17">
        <v>89</v>
      </c>
      <c r="B90" s="24" t="s">
        <v>279</v>
      </c>
      <c r="C90" s="17">
        <v>1</v>
      </c>
      <c r="D90" s="17" t="s">
        <v>173</v>
      </c>
      <c r="E90" s="18" t="s">
        <v>280</v>
      </c>
    </row>
    <row r="91" spans="1:5" ht="14.25" customHeight="1" x14ac:dyDescent="0.15">
      <c r="A91" s="17">
        <v>90</v>
      </c>
      <c r="B91" s="26"/>
      <c r="C91" s="17">
        <v>2</v>
      </c>
      <c r="D91" s="17" t="s">
        <v>173</v>
      </c>
      <c r="E91" s="18" t="s">
        <v>281</v>
      </c>
    </row>
    <row r="92" spans="1:5" ht="14.25" customHeight="1" x14ac:dyDescent="0.15">
      <c r="A92" s="17">
        <v>91</v>
      </c>
      <c r="B92" s="26"/>
      <c r="C92" s="17">
        <v>3</v>
      </c>
      <c r="D92" s="17" t="s">
        <v>173</v>
      </c>
      <c r="E92" s="18" t="s">
        <v>282</v>
      </c>
    </row>
    <row r="93" spans="1:5" ht="14.25" customHeight="1" x14ac:dyDescent="0.15">
      <c r="A93" s="17">
        <v>92</v>
      </c>
      <c r="B93" s="26"/>
      <c r="C93" s="17">
        <v>4</v>
      </c>
      <c r="D93" s="17" t="s">
        <v>179</v>
      </c>
      <c r="E93" s="23" t="s">
        <v>328</v>
      </c>
    </row>
    <row r="94" spans="1:5" ht="14.25" customHeight="1" x14ac:dyDescent="0.15">
      <c r="A94" s="17">
        <v>93</v>
      </c>
      <c r="B94" s="26"/>
      <c r="C94" s="17">
        <v>5</v>
      </c>
      <c r="D94" s="17" t="s">
        <v>183</v>
      </c>
      <c r="E94" s="18" t="s">
        <v>283</v>
      </c>
    </row>
    <row r="95" spans="1:5" ht="14.25" customHeight="1" x14ac:dyDescent="0.15">
      <c r="A95" s="17">
        <v>94</v>
      </c>
      <c r="B95" s="25"/>
      <c r="C95" s="17">
        <v>6</v>
      </c>
      <c r="D95" s="17" t="s">
        <v>284</v>
      </c>
      <c r="E95" s="18" t="s">
        <v>285</v>
      </c>
    </row>
    <row r="96" spans="1:5" ht="14.25" customHeight="1" x14ac:dyDescent="0.15">
      <c r="A96" s="17">
        <v>95</v>
      </c>
      <c r="B96" s="24" t="s">
        <v>286</v>
      </c>
      <c r="C96" s="17">
        <v>1</v>
      </c>
      <c r="D96" s="17" t="s">
        <v>173</v>
      </c>
      <c r="E96" s="18" t="s">
        <v>287</v>
      </c>
    </row>
    <row r="97" spans="1:5" ht="14.25" customHeight="1" x14ac:dyDescent="0.15">
      <c r="A97" s="17">
        <v>96</v>
      </c>
      <c r="B97" s="25"/>
      <c r="C97" s="17">
        <v>2</v>
      </c>
      <c r="D97" s="17" t="s">
        <v>179</v>
      </c>
      <c r="E97" s="18" t="s">
        <v>288</v>
      </c>
    </row>
    <row r="98" spans="1:5" ht="14.25" customHeight="1" x14ac:dyDescent="0.15">
      <c r="A98" s="17">
        <v>97</v>
      </c>
      <c r="B98" s="24" t="s">
        <v>289</v>
      </c>
      <c r="C98" s="17">
        <v>1</v>
      </c>
      <c r="D98" s="17" t="s">
        <v>173</v>
      </c>
      <c r="E98" s="18" t="s">
        <v>290</v>
      </c>
    </row>
    <row r="99" spans="1:5" ht="14.25" customHeight="1" x14ac:dyDescent="0.15">
      <c r="A99" s="17">
        <v>98</v>
      </c>
      <c r="B99" s="25"/>
      <c r="C99" s="17">
        <v>2</v>
      </c>
      <c r="D99" s="17" t="s">
        <v>183</v>
      </c>
      <c r="E99" s="18" t="s">
        <v>291</v>
      </c>
    </row>
    <row r="100" spans="1:5" ht="14.25" customHeight="1" x14ac:dyDescent="0.15">
      <c r="A100" s="17">
        <v>99</v>
      </c>
      <c r="B100" s="17" t="s">
        <v>292</v>
      </c>
      <c r="C100" s="17">
        <v>1</v>
      </c>
      <c r="D100" s="17" t="s">
        <v>200</v>
      </c>
      <c r="E100" s="18" t="s">
        <v>293</v>
      </c>
    </row>
    <row r="101" spans="1:5" ht="14.25" customHeight="1" x14ac:dyDescent="0.15">
      <c r="A101" s="17">
        <v>100</v>
      </c>
      <c r="B101" s="21" t="s">
        <v>294</v>
      </c>
      <c r="C101" s="17">
        <v>1</v>
      </c>
      <c r="D101" s="17" t="s">
        <v>200</v>
      </c>
      <c r="E101" s="18" t="s">
        <v>295</v>
      </c>
    </row>
    <row r="102" spans="1:5" ht="14.25" customHeight="1" x14ac:dyDescent="0.15">
      <c r="A102" s="17">
        <v>101</v>
      </c>
      <c r="B102" s="17" t="s">
        <v>296</v>
      </c>
      <c r="C102" s="17">
        <v>1</v>
      </c>
      <c r="D102" s="17" t="s">
        <v>183</v>
      </c>
      <c r="E102" s="18" t="s">
        <v>297</v>
      </c>
    </row>
    <row r="103" spans="1:5" ht="14.25" customHeight="1" x14ac:dyDescent="0.15">
      <c r="A103" s="17">
        <v>102</v>
      </c>
      <c r="B103" s="24" t="s">
        <v>298</v>
      </c>
      <c r="C103" s="17">
        <v>1</v>
      </c>
      <c r="D103" s="17" t="s">
        <v>299</v>
      </c>
      <c r="E103" s="23" t="s">
        <v>329</v>
      </c>
    </row>
    <row r="104" spans="1:5" ht="14.25" customHeight="1" x14ac:dyDescent="0.15">
      <c r="A104" s="17">
        <v>103</v>
      </c>
      <c r="B104" s="25"/>
      <c r="C104" s="17">
        <v>2</v>
      </c>
      <c r="D104" s="17" t="s">
        <v>203</v>
      </c>
      <c r="E104" s="18" t="s">
        <v>300</v>
      </c>
    </row>
    <row r="105" spans="1:5" ht="14.25" customHeight="1" x14ac:dyDescent="0.15">
      <c r="A105" s="17">
        <v>104</v>
      </c>
      <c r="B105" s="17" t="s">
        <v>301</v>
      </c>
      <c r="C105" s="17">
        <v>1</v>
      </c>
      <c r="D105" s="17" t="s">
        <v>183</v>
      </c>
      <c r="E105" s="18" t="s">
        <v>302</v>
      </c>
    </row>
    <row r="106" spans="1:5" ht="14.25" customHeight="1" x14ac:dyDescent="0.15">
      <c r="A106" s="17">
        <v>105</v>
      </c>
      <c r="B106" s="17" t="s">
        <v>303</v>
      </c>
      <c r="C106" s="17">
        <v>1</v>
      </c>
      <c r="D106" s="17" t="s">
        <v>183</v>
      </c>
      <c r="E106" s="18" t="s">
        <v>304</v>
      </c>
    </row>
  </sheetData>
  <customSheetViews>
    <customSheetView guid="{BF41293E-5BFA-400A-AA68-530EAC246496}" showAutoFilter="1">
      <selection activeCell="E8" sqref="E8"/>
      <pageMargins left="0.70866141732283472" right="0.70866141732283472" top="0.55118110236220474" bottom="0.39370078740157483" header="0.31496062992125984" footer="0.19685039370078741"/>
      <printOptions horizontalCentered="1"/>
      <pageSetup paperSize="9" orientation="portrait" r:id="rId1"/>
      <headerFooter>
        <oddFooter>第 &amp;P 页，共 &amp;N 页</oddFooter>
      </headerFooter>
      <autoFilter ref="B2:V107" xr:uid="{0EDD7BBA-87D8-41BB-ADF9-0A1BEF1E745C}"/>
    </customSheetView>
    <customSheetView guid="{F2009304-EFC4-4EBE-90DB-85EC541381FF}" showPageBreaks="1" printArea="1" showAutoFilter="1">
      <selection activeCell="E29" sqref="E29"/>
      <pageMargins left="0.70866141732283472" right="0.70866141732283472" top="0.55118110236220474" bottom="0.39370078740157483" header="0.31496062992125984" footer="0.19685039370078741"/>
      <printOptions horizontalCentered="1"/>
      <pageSetup paperSize="9" orientation="portrait" r:id="rId2"/>
      <headerFooter>
        <oddFooter>第 &amp;P 页，共 &amp;N 页</oddFooter>
      </headerFooter>
      <autoFilter ref="B2:V107" xr:uid="{83AAFA87-2C1F-47C8-8A82-0F325AA5C029}"/>
    </customSheetView>
    <customSheetView guid="{DE54F411-5CCD-43D3-8A8B-1D3258F3AEB4}" showAutoFilter="1" topLeftCell="A28">
      <selection activeCell="E67" sqref="E67"/>
      <pageMargins left="0.70866141732283472" right="0.70866141732283472" top="0.55118110236220474" bottom="0.39370078740157483" header="0.31496062992125984" footer="0.19685039370078741"/>
      <printOptions horizontalCentered="1"/>
      <pageSetup paperSize="9" orientation="portrait" r:id="rId3"/>
      <headerFooter>
        <oddFooter>第 &amp;P 页，共 &amp;N 页</oddFooter>
      </headerFooter>
      <autoFilter ref="B2:V107" xr:uid="{1BCACEE1-3CB3-4600-A754-064E1B964A5C}"/>
    </customSheetView>
    <customSheetView guid="{107DE7A0-3DAF-478A-9BAF-3C691FA9A2FF}">
      <selection activeCell="I11" sqref="I11"/>
      <pageMargins left="0.70866141732283472" right="0.70866141732283472" top="0.55118110236220474" bottom="0.39370078740157483" header="0.31496062992125984" footer="0.19685039370078741"/>
      <printOptions horizontalCentered="1"/>
      <pageSetup paperSize="9" orientation="portrait" r:id="rId4"/>
      <headerFooter>
        <oddFooter>第 &amp;P 页，共 &amp;N 页</oddFooter>
      </headerFooter>
    </customSheetView>
  </customSheetViews>
  <mergeCells count="21">
    <mergeCell ref="B49:B53"/>
    <mergeCell ref="B54:B63"/>
    <mergeCell ref="B65:B72"/>
    <mergeCell ref="B73:B77"/>
    <mergeCell ref="B30:B32"/>
    <mergeCell ref="B33:B37"/>
    <mergeCell ref="B38:B41"/>
    <mergeCell ref="B42:B45"/>
    <mergeCell ref="B46:B48"/>
    <mergeCell ref="B3:B12"/>
    <mergeCell ref="B13:B18"/>
    <mergeCell ref="B19:B24"/>
    <mergeCell ref="B25:B28"/>
    <mergeCell ref="B96:B97"/>
    <mergeCell ref="B98:B99"/>
    <mergeCell ref="B103:B104"/>
    <mergeCell ref="B78:B79"/>
    <mergeCell ref="B80:B83"/>
    <mergeCell ref="B84:B86"/>
    <mergeCell ref="B87:B88"/>
    <mergeCell ref="B90:B95"/>
  </mergeCells>
  <phoneticPr fontId="7" type="noConversion"/>
  <printOptions horizontalCentered="1"/>
  <pageMargins left="0.70866141732283472" right="0.70866141732283472" top="0.55118110236220474" bottom="0.39370078740157483" header="0.31496062992125984" footer="0.19685039370078741"/>
  <pageSetup paperSize="9" orientation="portrait" r:id="rId5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I8" sqref="I8"/>
    </sheetView>
  </sheetViews>
  <sheetFormatPr defaultColWidth="9" defaultRowHeight="15" x14ac:dyDescent="0.15"/>
  <cols>
    <col min="1" max="2" width="10.5" style="1" customWidth="1"/>
    <col min="3" max="3" width="10.5" style="14" customWidth="1"/>
    <col min="4" max="4" width="10.5" style="1" customWidth="1"/>
    <col min="5" max="5" width="36.5" style="1" customWidth="1"/>
    <col min="6" max="6" width="41.5" style="2" customWidth="1"/>
    <col min="7" max="16384" width="9" style="1"/>
  </cols>
  <sheetData>
    <row r="1" spans="1:8" ht="57" customHeight="1" x14ac:dyDescent="0.15">
      <c r="A1" s="27" t="s">
        <v>0</v>
      </c>
      <c r="B1" s="27"/>
      <c r="C1" s="27"/>
      <c r="D1" s="27"/>
      <c r="E1" s="27"/>
      <c r="F1" s="27"/>
    </row>
    <row r="2" spans="1:8" ht="36" customHeight="1" x14ac:dyDescent="0.15">
      <c r="A2" s="15" t="s">
        <v>167</v>
      </c>
      <c r="B2" s="3" t="s">
        <v>1</v>
      </c>
      <c r="C2" s="16" t="s">
        <v>169</v>
      </c>
      <c r="D2" s="3" t="s">
        <v>3</v>
      </c>
      <c r="E2" s="3" t="s">
        <v>4</v>
      </c>
      <c r="F2" s="3" t="s">
        <v>316</v>
      </c>
    </row>
    <row r="3" spans="1:8" ht="38.450000000000003" customHeight="1" x14ac:dyDescent="0.15">
      <c r="A3" s="17">
        <v>1</v>
      </c>
      <c r="B3" s="28" t="s">
        <v>9</v>
      </c>
      <c r="C3" s="17">
        <v>1</v>
      </c>
      <c r="D3" s="5" t="s">
        <v>10</v>
      </c>
      <c r="E3" s="6" t="s">
        <v>11</v>
      </c>
      <c r="F3" s="22" t="s">
        <v>305</v>
      </c>
      <c r="H3" s="13"/>
    </row>
    <row r="4" spans="1:8" ht="38.450000000000003" customHeight="1" x14ac:dyDescent="0.15">
      <c r="A4" s="17">
        <v>2</v>
      </c>
      <c r="B4" s="29"/>
      <c r="C4" s="17">
        <v>2</v>
      </c>
      <c r="D4" s="5" t="s">
        <v>12</v>
      </c>
      <c r="E4" s="6" t="s">
        <v>13</v>
      </c>
      <c r="F4" s="22" t="s">
        <v>306</v>
      </c>
      <c r="H4" s="13"/>
    </row>
    <row r="5" spans="1:8" ht="38.450000000000003" customHeight="1" x14ac:dyDescent="0.15">
      <c r="A5" s="17">
        <v>3</v>
      </c>
      <c r="B5" s="5" t="s">
        <v>14</v>
      </c>
      <c r="C5" s="17">
        <v>1</v>
      </c>
      <c r="D5" s="5" t="s">
        <v>10</v>
      </c>
      <c r="E5" s="6" t="s">
        <v>15</v>
      </c>
      <c r="F5" s="22" t="s">
        <v>307</v>
      </c>
    </row>
    <row r="6" spans="1:8" ht="38.450000000000003" customHeight="1" x14ac:dyDescent="0.15">
      <c r="A6" s="17">
        <v>4</v>
      </c>
      <c r="B6" s="5" t="s">
        <v>16</v>
      </c>
      <c r="C6" s="17">
        <v>1</v>
      </c>
      <c r="D6" s="5" t="s">
        <v>10</v>
      </c>
      <c r="E6" s="6" t="s">
        <v>17</v>
      </c>
      <c r="F6" s="22" t="s">
        <v>308</v>
      </c>
    </row>
    <row r="7" spans="1:8" ht="38.450000000000003" customHeight="1" x14ac:dyDescent="0.15">
      <c r="A7" s="17">
        <v>5</v>
      </c>
      <c r="B7" s="28" t="s">
        <v>18</v>
      </c>
      <c r="C7" s="17">
        <v>1</v>
      </c>
      <c r="D7" s="5" t="s">
        <v>19</v>
      </c>
      <c r="E7" s="6" t="s">
        <v>20</v>
      </c>
      <c r="F7" s="22" t="s">
        <v>309</v>
      </c>
    </row>
    <row r="8" spans="1:8" ht="38.450000000000003" customHeight="1" x14ac:dyDescent="0.15">
      <c r="A8" s="17">
        <v>6</v>
      </c>
      <c r="B8" s="29"/>
      <c r="C8" s="17">
        <v>2</v>
      </c>
      <c r="D8" s="5" t="s">
        <v>19</v>
      </c>
      <c r="E8" s="6" t="s">
        <v>21</v>
      </c>
      <c r="F8" s="22" t="s">
        <v>310</v>
      </c>
    </row>
    <row r="9" spans="1:8" ht="38.450000000000003" customHeight="1" x14ac:dyDescent="0.15">
      <c r="A9" s="17">
        <v>7</v>
      </c>
      <c r="B9" s="5" t="s">
        <v>22</v>
      </c>
      <c r="C9" s="17">
        <v>1</v>
      </c>
      <c r="D9" s="5" t="s">
        <v>19</v>
      </c>
      <c r="E9" s="6" t="s">
        <v>23</v>
      </c>
      <c r="F9" s="22" t="s">
        <v>311</v>
      </c>
    </row>
    <row r="10" spans="1:8" ht="38.450000000000003" customHeight="1" x14ac:dyDescent="0.15">
      <c r="A10" s="17">
        <v>8</v>
      </c>
      <c r="B10" s="12" t="s">
        <v>24</v>
      </c>
      <c r="C10" s="17">
        <v>1</v>
      </c>
      <c r="D10" s="5" t="s">
        <v>10</v>
      </c>
      <c r="E10" s="6" t="s">
        <v>25</v>
      </c>
      <c r="F10" s="22" t="s">
        <v>312</v>
      </c>
    </row>
    <row r="11" spans="1:8" ht="38.450000000000003" customHeight="1" x14ac:dyDescent="0.15">
      <c r="A11" s="17">
        <v>9</v>
      </c>
      <c r="B11" s="5" t="s">
        <v>26</v>
      </c>
      <c r="C11" s="17">
        <v>1</v>
      </c>
      <c r="D11" s="5" t="s">
        <v>10</v>
      </c>
      <c r="E11" s="6" t="s">
        <v>27</v>
      </c>
      <c r="F11" s="22" t="s">
        <v>313</v>
      </c>
    </row>
    <row r="12" spans="1:8" ht="38.450000000000003" customHeight="1" x14ac:dyDescent="0.15">
      <c r="A12" s="17">
        <v>10</v>
      </c>
      <c r="B12" s="12" t="s">
        <v>28</v>
      </c>
      <c r="C12" s="17">
        <v>1</v>
      </c>
      <c r="D12" s="5" t="s">
        <v>29</v>
      </c>
      <c r="E12" s="6" t="s">
        <v>30</v>
      </c>
      <c r="F12" s="22" t="s">
        <v>314</v>
      </c>
    </row>
    <row r="13" spans="1:8" ht="38.450000000000003" customHeight="1" x14ac:dyDescent="0.15">
      <c r="A13" s="17">
        <v>11</v>
      </c>
      <c r="B13" s="5" t="s">
        <v>158</v>
      </c>
      <c r="C13" s="17">
        <v>1</v>
      </c>
      <c r="D13" s="5" t="s">
        <v>7</v>
      </c>
      <c r="E13" s="6" t="s">
        <v>159</v>
      </c>
      <c r="F13" s="22" t="s">
        <v>315</v>
      </c>
    </row>
  </sheetData>
  <customSheetViews>
    <customSheetView guid="{BF41293E-5BFA-400A-AA68-530EAC246496}" showAutoFilter="1">
      <selection activeCell="I8" sqref="I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  <headerFooter>
        <oddFooter>第 &amp;P 页，共 &amp;N 页</oddFooter>
      </headerFooter>
      <autoFilter ref="B2:V13" xr:uid="{671BDA0F-3E00-4AB9-981B-F0041BCD2810}">
        <sortState xmlns:xlrd2="http://schemas.microsoft.com/office/spreadsheetml/2017/richdata2" ref="B3:V13">
          <sortCondition ref="F2"/>
        </sortState>
      </autoFilter>
    </customSheetView>
    <customSheetView guid="{F2009304-EFC4-4EBE-90DB-85EC541381FF}" showPageBreaks="1" printArea="1" showAutoFilter="1">
      <selection activeCell="I8" sqref="I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  <headerFooter>
        <oddFooter>第 &amp;P 页，共 &amp;N 页</oddFooter>
      </headerFooter>
      <autoFilter ref="B2:V13" xr:uid="{00922C0B-2930-4A1B-9943-5FDDD36D8CCC}">
        <sortState xmlns:xlrd2="http://schemas.microsoft.com/office/spreadsheetml/2017/richdata2" ref="B3:V13">
          <sortCondition ref="F2"/>
        </sortState>
      </autoFilter>
    </customSheetView>
    <customSheetView guid="{DE54F411-5CCD-43D3-8A8B-1D3258F3AEB4}" showAutoFilter="1">
      <selection activeCell="I8" sqref="I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3"/>
      <headerFooter>
        <oddFooter>第 &amp;P 页，共 &amp;N 页</oddFooter>
      </headerFooter>
      <autoFilter ref="B2:V13" xr:uid="{25344905-BCA6-42F1-959D-D4A7DCB15B24}">
        <sortState xmlns:xlrd2="http://schemas.microsoft.com/office/spreadsheetml/2017/richdata2" ref="B3:V13">
          <sortCondition ref="F2"/>
        </sortState>
      </autoFilter>
    </customSheetView>
    <customSheetView guid="{107DE7A0-3DAF-478A-9BAF-3C691FA9A2FF}">
      <selection activeCell="I8" sqref="I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4"/>
      <headerFooter>
        <oddFooter>第 &amp;P 页，共 &amp;N 页</oddFooter>
      </headerFooter>
    </customSheetView>
  </customSheetViews>
  <mergeCells count="3">
    <mergeCell ref="A1:F1"/>
    <mergeCell ref="B3:B4"/>
    <mergeCell ref="B7:B8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5"/>
  <headerFooter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8"/>
  <sheetViews>
    <sheetView topLeftCell="A94" workbookViewId="0">
      <selection activeCell="G12" sqref="G12"/>
    </sheetView>
  </sheetViews>
  <sheetFormatPr defaultColWidth="9" defaultRowHeight="13.5" x14ac:dyDescent="0.15"/>
  <cols>
    <col min="1" max="2" width="9" style="1"/>
    <col min="3" max="3" width="10.25" style="1" customWidth="1"/>
    <col min="4" max="4" width="43.5" style="1" customWidth="1"/>
    <col min="5" max="5" width="12.375" style="2" customWidth="1"/>
    <col min="6" max="16384" width="9" style="1"/>
  </cols>
  <sheetData>
    <row r="1" spans="1:7" ht="45" customHeight="1" x14ac:dyDescent="0.15">
      <c r="A1" s="27" t="s">
        <v>31</v>
      </c>
      <c r="B1" s="27"/>
      <c r="C1" s="27"/>
      <c r="D1" s="27"/>
      <c r="E1" s="27"/>
    </row>
    <row r="2" spans="1:7" ht="14.25" x14ac:dyDescent="0.15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</row>
    <row r="3" spans="1:7" ht="14.45" customHeight="1" x14ac:dyDescent="0.15">
      <c r="A3" s="5" t="s">
        <v>32</v>
      </c>
      <c r="B3" s="5">
        <v>1</v>
      </c>
      <c r="C3" s="5" t="s">
        <v>10</v>
      </c>
      <c r="D3" s="6" t="s">
        <v>33</v>
      </c>
      <c r="E3" s="7" t="str">
        <f>VLOOKUP(D3,[1]投票表汇总!$D$2:$H$118,5,0)</f>
        <v>通过</v>
      </c>
      <c r="G3" s="8"/>
    </row>
    <row r="4" spans="1:7" ht="14.45" customHeight="1" x14ac:dyDescent="0.15">
      <c r="A4" s="5" t="s">
        <v>6</v>
      </c>
      <c r="B4" s="5">
        <v>1</v>
      </c>
      <c r="C4" s="5" t="s">
        <v>10</v>
      </c>
      <c r="D4" s="6" t="s">
        <v>34</v>
      </c>
      <c r="E4" s="7" t="str">
        <f>VLOOKUP(D4,[1]投票表汇总!$D$2:$H$118,5,0)</f>
        <v>通过</v>
      </c>
      <c r="G4" s="8"/>
    </row>
    <row r="5" spans="1:7" x14ac:dyDescent="0.15">
      <c r="A5" s="5" t="s">
        <v>6</v>
      </c>
      <c r="B5" s="5">
        <v>2</v>
      </c>
      <c r="C5" s="5" t="s">
        <v>10</v>
      </c>
      <c r="D5" s="6" t="s">
        <v>35</v>
      </c>
      <c r="E5" s="7" t="str">
        <f>VLOOKUP(D5,[1]投票表汇总!$D$2:$H$118,5,0)</f>
        <v>通过</v>
      </c>
    </row>
    <row r="6" spans="1:7" x14ac:dyDescent="0.15">
      <c r="A6" s="5" t="s">
        <v>6</v>
      </c>
      <c r="B6" s="5">
        <v>3</v>
      </c>
      <c r="C6" s="5" t="s">
        <v>10</v>
      </c>
      <c r="D6" s="6" t="s">
        <v>36</v>
      </c>
      <c r="E6" s="7" t="str">
        <f>VLOOKUP(D6,[1]投票表汇总!$D$2:$H$118,5,0)</f>
        <v>通过</v>
      </c>
    </row>
    <row r="7" spans="1:7" x14ac:dyDescent="0.15">
      <c r="A7" s="5" t="s">
        <v>6</v>
      </c>
      <c r="B7" s="5">
        <v>4</v>
      </c>
      <c r="C7" s="5" t="s">
        <v>19</v>
      </c>
      <c r="D7" s="6" t="s">
        <v>37</v>
      </c>
      <c r="E7" s="7" t="str">
        <f>VLOOKUP(D7,[1]投票表汇总!$D$2:$H$118,5,0)</f>
        <v>通过</v>
      </c>
    </row>
    <row r="8" spans="1:7" x14ac:dyDescent="0.15">
      <c r="A8" s="5" t="s">
        <v>6</v>
      </c>
      <c r="B8" s="5">
        <v>5</v>
      </c>
      <c r="C8" s="5" t="s">
        <v>19</v>
      </c>
      <c r="D8" s="6" t="s">
        <v>38</v>
      </c>
      <c r="E8" s="7" t="str">
        <f>VLOOKUP(D8,[1]投票表汇总!$D$2:$H$118,5,0)</f>
        <v>通过</v>
      </c>
    </row>
    <row r="9" spans="1:7" x14ac:dyDescent="0.15">
      <c r="A9" s="5" t="s">
        <v>6</v>
      </c>
      <c r="B9" s="5">
        <v>6</v>
      </c>
      <c r="C9" s="5" t="s">
        <v>19</v>
      </c>
      <c r="D9" s="6" t="s">
        <v>39</v>
      </c>
      <c r="E9" s="7" t="str">
        <f>VLOOKUP(D9,[1]投票表汇总!$D$2:$H$118,5,0)</f>
        <v>通过</v>
      </c>
    </row>
    <row r="10" spans="1:7" x14ac:dyDescent="0.15">
      <c r="A10" s="5" t="s">
        <v>6</v>
      </c>
      <c r="B10" s="5">
        <v>7</v>
      </c>
      <c r="C10" s="5" t="s">
        <v>7</v>
      </c>
      <c r="D10" s="6" t="s">
        <v>8</v>
      </c>
      <c r="E10" s="7" t="str">
        <f>VLOOKUP(D10,[1]投票表汇总!$D$2:$H$118,5,0)</f>
        <v>通过</v>
      </c>
    </row>
    <row r="11" spans="1:7" x14ac:dyDescent="0.15">
      <c r="A11" s="5" t="s">
        <v>6</v>
      </c>
      <c r="B11" s="5">
        <v>8</v>
      </c>
      <c r="C11" s="5" t="s">
        <v>7</v>
      </c>
      <c r="D11" s="6" t="s">
        <v>40</v>
      </c>
      <c r="E11" s="7" t="str">
        <f>VLOOKUP(D11,[1]投票表汇总!$D$2:$H$118,5,0)</f>
        <v>通过</v>
      </c>
    </row>
    <row r="12" spans="1:7" x14ac:dyDescent="0.15">
      <c r="A12" s="5" t="s">
        <v>6</v>
      </c>
      <c r="B12" s="5">
        <v>9</v>
      </c>
      <c r="C12" s="5" t="s">
        <v>7</v>
      </c>
      <c r="D12" s="6" t="s">
        <v>41</v>
      </c>
      <c r="E12" s="7" t="str">
        <f>VLOOKUP(D12,[1]投票表汇总!$D$2:$H$118,5,0)</f>
        <v>通过</v>
      </c>
    </row>
    <row r="13" spans="1:7" x14ac:dyDescent="0.15">
      <c r="A13" s="5" t="s">
        <v>6</v>
      </c>
      <c r="B13" s="5">
        <v>10</v>
      </c>
      <c r="C13" s="5" t="s">
        <v>42</v>
      </c>
      <c r="D13" s="6" t="s">
        <v>43</v>
      </c>
      <c r="E13" s="7" t="str">
        <f>VLOOKUP(D13,[1]投票表汇总!$D$2:$H$118,5,0)</f>
        <v>通过</v>
      </c>
    </row>
    <row r="14" spans="1:7" x14ac:dyDescent="0.15">
      <c r="A14" s="5" t="s">
        <v>44</v>
      </c>
      <c r="B14" s="5">
        <v>1</v>
      </c>
      <c r="C14" s="5" t="s">
        <v>10</v>
      </c>
      <c r="D14" s="6" t="s">
        <v>45</v>
      </c>
      <c r="E14" s="7" t="str">
        <f>VLOOKUP(D14,[1]投票表汇总!$D$2:$H$118,5,0)</f>
        <v>通过</v>
      </c>
    </row>
    <row r="15" spans="1:7" x14ac:dyDescent="0.15">
      <c r="A15" s="5" t="s">
        <v>44</v>
      </c>
      <c r="B15" s="5">
        <v>2</v>
      </c>
      <c r="C15" s="5" t="s">
        <v>10</v>
      </c>
      <c r="D15" s="6" t="s">
        <v>46</v>
      </c>
      <c r="E15" s="7" t="str">
        <f>VLOOKUP(D15,[1]投票表汇总!$D$2:$H$118,5,0)</f>
        <v>通过</v>
      </c>
    </row>
    <row r="16" spans="1:7" x14ac:dyDescent="0.15">
      <c r="A16" s="5" t="s">
        <v>44</v>
      </c>
      <c r="B16" s="5">
        <v>3</v>
      </c>
      <c r="C16" s="5" t="s">
        <v>47</v>
      </c>
      <c r="D16" s="6" t="s">
        <v>48</v>
      </c>
      <c r="E16" s="7" t="str">
        <f>VLOOKUP(D16,[1]投票表汇总!$D$2:$H$118,5,0)</f>
        <v>通过</v>
      </c>
    </row>
    <row r="17" spans="1:5" x14ac:dyDescent="0.15">
      <c r="A17" s="5" t="s">
        <v>44</v>
      </c>
      <c r="B17" s="5">
        <v>4</v>
      </c>
      <c r="C17" s="5" t="s">
        <v>19</v>
      </c>
      <c r="D17" s="6" t="s">
        <v>49</v>
      </c>
      <c r="E17" s="7" t="str">
        <f>VLOOKUP(D17,[1]投票表汇总!$D$2:$H$118,5,0)</f>
        <v>通过</v>
      </c>
    </row>
    <row r="18" spans="1:5" x14ac:dyDescent="0.15">
      <c r="A18" s="5" t="s">
        <v>44</v>
      </c>
      <c r="B18" s="5">
        <v>5</v>
      </c>
      <c r="C18" s="5" t="s">
        <v>7</v>
      </c>
      <c r="D18" s="6" t="s">
        <v>50</v>
      </c>
      <c r="E18" s="7" t="str">
        <f>VLOOKUP(D18,[1]投票表汇总!$D$2:$H$118,5,0)</f>
        <v>通过</v>
      </c>
    </row>
    <row r="19" spans="1:5" x14ac:dyDescent="0.15">
      <c r="A19" s="5" t="s">
        <v>44</v>
      </c>
      <c r="B19" s="5">
        <v>6</v>
      </c>
      <c r="C19" s="5" t="s">
        <v>7</v>
      </c>
      <c r="D19" s="6" t="s">
        <v>51</v>
      </c>
      <c r="E19" s="7" t="str">
        <f>VLOOKUP(D19,[1]投票表汇总!$D$2:$H$118,5,0)</f>
        <v>通过</v>
      </c>
    </row>
    <row r="20" spans="1:5" x14ac:dyDescent="0.15">
      <c r="A20" s="5" t="s">
        <v>52</v>
      </c>
      <c r="B20" s="5">
        <v>1</v>
      </c>
      <c r="C20" s="5" t="s">
        <v>7</v>
      </c>
      <c r="D20" s="6" t="s">
        <v>53</v>
      </c>
      <c r="E20" s="7" t="str">
        <f>VLOOKUP(D20,[1]投票表汇总!$D$2:$H$118,5,0)</f>
        <v>通过</v>
      </c>
    </row>
    <row r="21" spans="1:5" x14ac:dyDescent="0.15">
      <c r="A21" s="5" t="s">
        <v>52</v>
      </c>
      <c r="B21" s="5">
        <v>2</v>
      </c>
      <c r="C21" s="5" t="s">
        <v>7</v>
      </c>
      <c r="D21" s="6" t="s">
        <v>54</v>
      </c>
      <c r="E21" s="7" t="str">
        <f>VLOOKUP(D21,[1]投票表汇总!$D$2:$H$118,5,0)</f>
        <v>通过</v>
      </c>
    </row>
    <row r="22" spans="1:5" x14ac:dyDescent="0.15">
      <c r="A22" s="5" t="s">
        <v>52</v>
      </c>
      <c r="B22" s="5">
        <v>3</v>
      </c>
      <c r="C22" s="5" t="s">
        <v>12</v>
      </c>
      <c r="D22" s="6" t="s">
        <v>55</v>
      </c>
      <c r="E22" s="7" t="str">
        <f>VLOOKUP(D22,[1]投票表汇总!$D$2:$H$118,5,0)</f>
        <v>通过</v>
      </c>
    </row>
    <row r="23" spans="1:5" x14ac:dyDescent="0.15">
      <c r="A23" s="5" t="s">
        <v>52</v>
      </c>
      <c r="B23" s="5">
        <v>4</v>
      </c>
      <c r="C23" s="5" t="s">
        <v>42</v>
      </c>
      <c r="D23" s="6" t="s">
        <v>56</v>
      </c>
      <c r="E23" s="7" t="str">
        <f>VLOOKUP(D23,[1]投票表汇总!$D$2:$H$118,5,0)</f>
        <v>通过</v>
      </c>
    </row>
    <row r="24" spans="1:5" x14ac:dyDescent="0.15">
      <c r="A24" s="5" t="s">
        <v>52</v>
      </c>
      <c r="B24" s="5">
        <v>5</v>
      </c>
      <c r="C24" s="5" t="s">
        <v>57</v>
      </c>
      <c r="D24" s="6" t="s">
        <v>58</v>
      </c>
      <c r="E24" s="7" t="str">
        <f>VLOOKUP(D24,[1]投票表汇总!$D$2:$H$118,5,0)</f>
        <v>通过</v>
      </c>
    </row>
    <row r="25" spans="1:5" x14ac:dyDescent="0.15">
      <c r="A25" s="5" t="s">
        <v>52</v>
      </c>
      <c r="B25" s="5">
        <v>6</v>
      </c>
      <c r="C25" s="5" t="s">
        <v>59</v>
      </c>
      <c r="D25" s="6" t="s">
        <v>60</v>
      </c>
      <c r="E25" s="7" t="str">
        <f>VLOOKUP(D25,[1]投票表汇总!$D$2:$H$118,5,0)</f>
        <v>通过</v>
      </c>
    </row>
    <row r="26" spans="1:5" x14ac:dyDescent="0.15">
      <c r="A26" s="5" t="s">
        <v>9</v>
      </c>
      <c r="B26" s="5">
        <v>1</v>
      </c>
      <c r="C26" s="5" t="s">
        <v>10</v>
      </c>
      <c r="D26" s="6" t="s">
        <v>11</v>
      </c>
      <c r="E26" s="7" t="str">
        <f>VLOOKUP(D26,[1]投票表汇总!$D$2:$H$118,5,0)</f>
        <v>不通过</v>
      </c>
    </row>
    <row r="27" spans="1:5" x14ac:dyDescent="0.15">
      <c r="A27" s="5" t="s">
        <v>9</v>
      </c>
      <c r="B27" s="5">
        <v>2</v>
      </c>
      <c r="C27" s="5" t="s">
        <v>10</v>
      </c>
      <c r="D27" s="6" t="s">
        <v>61</v>
      </c>
      <c r="E27" s="7" t="str">
        <f>VLOOKUP(D27,[1]投票表汇总!$D$2:$H$118,5,0)</f>
        <v>通过</v>
      </c>
    </row>
    <row r="28" spans="1:5" x14ac:dyDescent="0.15">
      <c r="A28" s="5" t="s">
        <v>9</v>
      </c>
      <c r="B28" s="5">
        <v>3</v>
      </c>
      <c r="C28" s="5" t="s">
        <v>19</v>
      </c>
      <c r="D28" s="6" t="s">
        <v>62</v>
      </c>
      <c r="E28" s="7" t="str">
        <f>VLOOKUP(D28,[1]投票表汇总!$D$2:$H$118,5,0)</f>
        <v>通过</v>
      </c>
    </row>
    <row r="29" spans="1:5" x14ac:dyDescent="0.15">
      <c r="A29" s="5" t="s">
        <v>9</v>
      </c>
      <c r="B29" s="5">
        <v>4</v>
      </c>
      <c r="C29" s="5" t="s">
        <v>47</v>
      </c>
      <c r="D29" s="6" t="s">
        <v>63</v>
      </c>
      <c r="E29" s="7" t="str">
        <f>VLOOKUP(D29,[1]投票表汇总!$D$2:$H$118,5,0)</f>
        <v>通过</v>
      </c>
    </row>
    <row r="30" spans="1:5" x14ac:dyDescent="0.15">
      <c r="A30" s="5" t="s">
        <v>9</v>
      </c>
      <c r="B30" s="5">
        <v>5</v>
      </c>
      <c r="C30" s="5" t="s">
        <v>47</v>
      </c>
      <c r="D30" s="6" t="s">
        <v>64</v>
      </c>
      <c r="E30" s="7" t="str">
        <f>VLOOKUP(D30,[1]投票表汇总!$D$2:$H$118,5,0)</f>
        <v>通过</v>
      </c>
    </row>
    <row r="31" spans="1:5" x14ac:dyDescent="0.15">
      <c r="A31" s="5" t="s">
        <v>9</v>
      </c>
      <c r="B31" s="5">
        <v>6</v>
      </c>
      <c r="C31" s="5" t="s">
        <v>12</v>
      </c>
      <c r="D31" s="6" t="s">
        <v>13</v>
      </c>
      <c r="E31" s="7" t="str">
        <f>VLOOKUP(D31,[1]投票表汇总!$D$2:$H$118,5,0)</f>
        <v>不通过</v>
      </c>
    </row>
    <row r="32" spans="1:5" x14ac:dyDescent="0.15">
      <c r="A32" s="5" t="s">
        <v>65</v>
      </c>
      <c r="B32" s="5">
        <v>1</v>
      </c>
      <c r="C32" s="5" t="s">
        <v>19</v>
      </c>
      <c r="D32" s="6" t="s">
        <v>66</v>
      </c>
      <c r="E32" s="7" t="str">
        <f>VLOOKUP(D32,[1]投票表汇总!$D$2:$H$118,5,0)</f>
        <v>通过</v>
      </c>
    </row>
    <row r="33" spans="1:5" x14ac:dyDescent="0.15">
      <c r="A33" s="5" t="s">
        <v>67</v>
      </c>
      <c r="B33" s="5">
        <v>1</v>
      </c>
      <c r="C33" s="5" t="s">
        <v>10</v>
      </c>
      <c r="D33" s="6" t="s">
        <v>68</v>
      </c>
      <c r="E33" s="7" t="str">
        <f>VLOOKUP(D33,[1]投票表汇总!$D$2:$H$118,5,0)</f>
        <v>通过</v>
      </c>
    </row>
    <row r="34" spans="1:5" x14ac:dyDescent="0.15">
      <c r="A34" s="5" t="s">
        <v>67</v>
      </c>
      <c r="B34" s="5">
        <v>2</v>
      </c>
      <c r="C34" s="5" t="s">
        <v>10</v>
      </c>
      <c r="D34" s="6" t="s">
        <v>69</v>
      </c>
      <c r="E34" s="7" t="str">
        <f>VLOOKUP(D34,[1]投票表汇总!$D$2:$H$118,5,0)</f>
        <v>通过</v>
      </c>
    </row>
    <row r="35" spans="1:5" x14ac:dyDescent="0.15">
      <c r="A35" s="5" t="s">
        <v>67</v>
      </c>
      <c r="B35" s="5">
        <v>3</v>
      </c>
      <c r="C35" s="5" t="s">
        <v>12</v>
      </c>
      <c r="D35" s="6" t="s">
        <v>70</v>
      </c>
      <c r="E35" s="7" t="str">
        <f>VLOOKUP(D35,[1]投票表汇总!$D$2:$H$118,5,0)</f>
        <v>通过</v>
      </c>
    </row>
    <row r="36" spans="1:5" x14ac:dyDescent="0.15">
      <c r="A36" s="5" t="s">
        <v>71</v>
      </c>
      <c r="B36" s="5">
        <v>1</v>
      </c>
      <c r="C36" s="5" t="s">
        <v>10</v>
      </c>
      <c r="D36" s="6" t="s">
        <v>72</v>
      </c>
      <c r="E36" s="7" t="str">
        <f>VLOOKUP(D36,[1]投票表汇总!$D$2:$H$118,5,0)</f>
        <v>通过</v>
      </c>
    </row>
    <row r="37" spans="1:5" x14ac:dyDescent="0.15">
      <c r="A37" s="5" t="s">
        <v>71</v>
      </c>
      <c r="B37" s="5">
        <v>2</v>
      </c>
      <c r="C37" s="5" t="s">
        <v>10</v>
      </c>
      <c r="D37" s="6" t="s">
        <v>73</v>
      </c>
      <c r="E37" s="7" t="str">
        <f>VLOOKUP(D37,[1]投票表汇总!$D$2:$H$118,5,0)</f>
        <v>通过</v>
      </c>
    </row>
    <row r="38" spans="1:5" x14ac:dyDescent="0.15">
      <c r="A38" s="5" t="s">
        <v>71</v>
      </c>
      <c r="B38" s="5">
        <v>3</v>
      </c>
      <c r="C38" s="5" t="s">
        <v>10</v>
      </c>
      <c r="D38" s="6" t="s">
        <v>74</v>
      </c>
      <c r="E38" s="7" t="str">
        <f>VLOOKUP(D38,[1]投票表汇总!$D$2:$H$118,5,0)</f>
        <v>通过</v>
      </c>
    </row>
    <row r="39" spans="1:5" x14ac:dyDescent="0.15">
      <c r="A39" s="5" t="s">
        <v>71</v>
      </c>
      <c r="B39" s="5">
        <v>4</v>
      </c>
      <c r="C39" s="5" t="s">
        <v>10</v>
      </c>
      <c r="D39" s="6" t="s">
        <v>75</v>
      </c>
      <c r="E39" s="7" t="str">
        <f>VLOOKUP(D39,[1]投票表汇总!$D$2:$H$118,5,0)</f>
        <v>通过</v>
      </c>
    </row>
    <row r="40" spans="1:5" x14ac:dyDescent="0.15">
      <c r="A40" s="5" t="s">
        <v>71</v>
      </c>
      <c r="B40" s="5">
        <v>5</v>
      </c>
      <c r="C40" s="5" t="s">
        <v>76</v>
      </c>
      <c r="D40" s="6" t="s">
        <v>77</v>
      </c>
      <c r="E40" s="7" t="str">
        <f>VLOOKUP(D40,[1]投票表汇总!$D$2:$H$118,5,0)</f>
        <v>通过</v>
      </c>
    </row>
    <row r="41" spans="1:5" x14ac:dyDescent="0.15">
      <c r="A41" s="5" t="s">
        <v>78</v>
      </c>
      <c r="B41" s="5">
        <v>1</v>
      </c>
      <c r="C41" s="5" t="s">
        <v>10</v>
      </c>
      <c r="D41" s="6" t="s">
        <v>79</v>
      </c>
      <c r="E41" s="7" t="str">
        <f>VLOOKUP(D41,[1]投票表汇总!$D$2:$H$118,5,0)</f>
        <v>通过</v>
      </c>
    </row>
    <row r="42" spans="1:5" x14ac:dyDescent="0.15">
      <c r="A42" s="5" t="s">
        <v>78</v>
      </c>
      <c r="B42" s="5">
        <v>2</v>
      </c>
      <c r="C42" s="5" t="s">
        <v>10</v>
      </c>
      <c r="D42" s="6" t="s">
        <v>80</v>
      </c>
      <c r="E42" s="7" t="str">
        <f>VLOOKUP(D42,[1]投票表汇总!$D$2:$H$118,5,0)</f>
        <v>通过</v>
      </c>
    </row>
    <row r="43" spans="1:5" x14ac:dyDescent="0.15">
      <c r="A43" s="5" t="s">
        <v>78</v>
      </c>
      <c r="B43" s="5">
        <v>3</v>
      </c>
      <c r="C43" s="5" t="s">
        <v>19</v>
      </c>
      <c r="D43" s="6" t="s">
        <v>81</v>
      </c>
      <c r="E43" s="7" t="str">
        <f>VLOOKUP(D43,[1]投票表汇总!$D$2:$H$118,5,0)</f>
        <v>通过</v>
      </c>
    </row>
    <row r="44" spans="1:5" x14ac:dyDescent="0.15">
      <c r="A44" s="5" t="s">
        <v>78</v>
      </c>
      <c r="B44" s="5">
        <v>4</v>
      </c>
      <c r="C44" s="5" t="s">
        <v>82</v>
      </c>
      <c r="D44" s="6" t="s">
        <v>83</v>
      </c>
      <c r="E44" s="7" t="str">
        <f>VLOOKUP(D44,[1]投票表汇总!$D$2:$H$118,5,0)</f>
        <v>通过</v>
      </c>
    </row>
    <row r="45" spans="1:5" x14ac:dyDescent="0.15">
      <c r="A45" s="5" t="s">
        <v>84</v>
      </c>
      <c r="B45" s="5">
        <v>1</v>
      </c>
      <c r="C45" s="5" t="s">
        <v>10</v>
      </c>
      <c r="D45" s="6" t="s">
        <v>85</v>
      </c>
      <c r="E45" s="7" t="str">
        <f>VLOOKUP(D45,[1]投票表汇总!$D$2:$H$118,5,0)</f>
        <v>通过</v>
      </c>
    </row>
    <row r="46" spans="1:5" x14ac:dyDescent="0.15">
      <c r="A46" s="5" t="s">
        <v>84</v>
      </c>
      <c r="B46" s="5">
        <v>2</v>
      </c>
      <c r="C46" s="5" t="s">
        <v>10</v>
      </c>
      <c r="D46" s="6" t="s">
        <v>86</v>
      </c>
      <c r="E46" s="7" t="str">
        <f>VLOOKUP(D46,[1]投票表汇总!$D$2:$H$118,5,0)</f>
        <v>通过</v>
      </c>
    </row>
    <row r="47" spans="1:5" x14ac:dyDescent="0.15">
      <c r="A47" s="5" t="s">
        <v>84</v>
      </c>
      <c r="B47" s="5">
        <v>3</v>
      </c>
      <c r="C47" s="5" t="s">
        <v>19</v>
      </c>
      <c r="D47" s="6" t="s">
        <v>87</v>
      </c>
      <c r="E47" s="7" t="str">
        <f>VLOOKUP(D47,[1]投票表汇总!$D$2:$H$118,5,0)</f>
        <v>通过</v>
      </c>
    </row>
    <row r="48" spans="1:5" x14ac:dyDescent="0.15">
      <c r="A48" s="5" t="s">
        <v>84</v>
      </c>
      <c r="B48" s="5">
        <v>4</v>
      </c>
      <c r="C48" s="5" t="s">
        <v>19</v>
      </c>
      <c r="D48" s="6" t="s">
        <v>88</v>
      </c>
      <c r="E48" s="7" t="str">
        <f>VLOOKUP(D48,[1]投票表汇总!$D$2:$H$118,5,0)</f>
        <v>通过</v>
      </c>
    </row>
    <row r="49" spans="1:5" x14ac:dyDescent="0.15">
      <c r="A49" s="5" t="s">
        <v>89</v>
      </c>
      <c r="B49" s="5">
        <v>1</v>
      </c>
      <c r="C49" s="5" t="s">
        <v>10</v>
      </c>
      <c r="D49" s="6" t="s">
        <v>90</v>
      </c>
      <c r="E49" s="7" t="str">
        <f>VLOOKUP(D49,[1]投票表汇总!$D$2:$H$118,5,0)</f>
        <v>通过</v>
      </c>
    </row>
    <row r="50" spans="1:5" x14ac:dyDescent="0.15">
      <c r="A50" s="5" t="s">
        <v>89</v>
      </c>
      <c r="B50" s="5">
        <v>2</v>
      </c>
      <c r="C50" s="5" t="s">
        <v>10</v>
      </c>
      <c r="D50" s="6" t="s">
        <v>91</v>
      </c>
      <c r="E50" s="7" t="str">
        <f>VLOOKUP(D50,[1]投票表汇总!$D$2:$H$118,5,0)</f>
        <v>通过</v>
      </c>
    </row>
    <row r="51" spans="1:5" x14ac:dyDescent="0.15">
      <c r="A51" s="5" t="s">
        <v>89</v>
      </c>
      <c r="B51" s="5">
        <v>3</v>
      </c>
      <c r="C51" s="5" t="s">
        <v>47</v>
      </c>
      <c r="D51" s="6" t="s">
        <v>92</v>
      </c>
      <c r="E51" s="7" t="str">
        <f>VLOOKUP(D51,[1]投票表汇总!$D$2:$H$118,5,0)</f>
        <v>通过</v>
      </c>
    </row>
    <row r="52" spans="1:5" x14ac:dyDescent="0.15">
      <c r="A52" s="5" t="s">
        <v>14</v>
      </c>
      <c r="B52" s="5">
        <v>1</v>
      </c>
      <c r="C52" s="5" t="s">
        <v>10</v>
      </c>
      <c r="D52" s="6" t="s">
        <v>93</v>
      </c>
      <c r="E52" s="7" t="str">
        <f>VLOOKUP(D52,[1]投票表汇总!$D$2:$H$118,5,0)</f>
        <v>通过</v>
      </c>
    </row>
    <row r="53" spans="1:5" x14ac:dyDescent="0.15">
      <c r="A53" s="5" t="s">
        <v>14</v>
      </c>
      <c r="B53" s="5">
        <v>2</v>
      </c>
      <c r="C53" s="5" t="s">
        <v>10</v>
      </c>
      <c r="D53" s="6" t="s">
        <v>94</v>
      </c>
      <c r="E53" s="7" t="str">
        <f>VLOOKUP(D53,[1]投票表汇总!$D$2:$H$118,5,0)</f>
        <v>通过</v>
      </c>
    </row>
    <row r="54" spans="1:5" x14ac:dyDescent="0.15">
      <c r="A54" s="5" t="s">
        <v>14</v>
      </c>
      <c r="B54" s="5">
        <v>3</v>
      </c>
      <c r="C54" s="5" t="s">
        <v>10</v>
      </c>
      <c r="D54" s="6" t="s">
        <v>95</v>
      </c>
      <c r="E54" s="7" t="str">
        <f>VLOOKUP(D54,[1]投票表汇总!$D$2:$H$118,5,0)</f>
        <v>通过</v>
      </c>
    </row>
    <row r="55" spans="1:5" x14ac:dyDescent="0.15">
      <c r="A55" s="5" t="s">
        <v>14</v>
      </c>
      <c r="B55" s="5">
        <v>4</v>
      </c>
      <c r="C55" s="5" t="s">
        <v>10</v>
      </c>
      <c r="D55" s="6" t="s">
        <v>15</v>
      </c>
      <c r="E55" s="7" t="str">
        <f>VLOOKUP(D55,[1]投票表汇总!$D$2:$H$118,5,0)</f>
        <v>不通过</v>
      </c>
    </row>
    <row r="56" spans="1:5" x14ac:dyDescent="0.15">
      <c r="A56" s="5" t="s">
        <v>14</v>
      </c>
      <c r="B56" s="5">
        <v>5</v>
      </c>
      <c r="C56" s="5" t="s">
        <v>19</v>
      </c>
      <c r="D56" s="6" t="s">
        <v>96</v>
      </c>
      <c r="E56" s="7" t="str">
        <f>VLOOKUP(D56,[1]投票表汇总!$D$2:$H$118,5,0)</f>
        <v>通过</v>
      </c>
    </row>
    <row r="57" spans="1:5" x14ac:dyDescent="0.15">
      <c r="A57" s="5" t="s">
        <v>14</v>
      </c>
      <c r="B57" s="5">
        <v>6</v>
      </c>
      <c r="C57" s="5" t="s">
        <v>19</v>
      </c>
      <c r="D57" s="6" t="s">
        <v>97</v>
      </c>
      <c r="E57" s="7" t="str">
        <f>VLOOKUP(D57,[1]投票表汇总!$D$2:$H$118,5,0)</f>
        <v>通过</v>
      </c>
    </row>
    <row r="58" spans="1:5" x14ac:dyDescent="0.15">
      <c r="A58" s="5" t="s">
        <v>98</v>
      </c>
      <c r="B58" s="5">
        <v>1</v>
      </c>
      <c r="C58" s="5" t="s">
        <v>10</v>
      </c>
      <c r="D58" s="6" t="s">
        <v>99</v>
      </c>
      <c r="E58" s="7" t="str">
        <f>VLOOKUP(D58,[1]投票表汇总!$D$2:$H$118,5,0)</f>
        <v>通过</v>
      </c>
    </row>
    <row r="59" spans="1:5" x14ac:dyDescent="0.15">
      <c r="A59" s="5" t="s">
        <v>98</v>
      </c>
      <c r="B59" s="5">
        <v>2</v>
      </c>
      <c r="C59" s="5" t="s">
        <v>10</v>
      </c>
      <c r="D59" s="6" t="s">
        <v>100</v>
      </c>
      <c r="E59" s="7" t="str">
        <f>VLOOKUP(D59,[1]投票表汇总!$D$2:$H$118,5,0)</f>
        <v>通过</v>
      </c>
    </row>
    <row r="60" spans="1:5" x14ac:dyDescent="0.15">
      <c r="A60" s="5" t="s">
        <v>98</v>
      </c>
      <c r="B60" s="5">
        <v>3</v>
      </c>
      <c r="C60" s="5" t="s">
        <v>10</v>
      </c>
      <c r="D60" s="6" t="s">
        <v>101</v>
      </c>
      <c r="E60" s="7" t="str">
        <f>VLOOKUP(D60,[1]投票表汇总!$D$2:$H$118,5,0)</f>
        <v>通过</v>
      </c>
    </row>
    <row r="61" spans="1:5" x14ac:dyDescent="0.15">
      <c r="A61" s="5" t="s">
        <v>98</v>
      </c>
      <c r="B61" s="5">
        <v>4</v>
      </c>
      <c r="C61" s="5" t="s">
        <v>10</v>
      </c>
      <c r="D61" s="6" t="s">
        <v>102</v>
      </c>
      <c r="E61" s="7" t="str">
        <f>VLOOKUP(D61,[1]投票表汇总!$D$2:$H$118,5,0)</f>
        <v>通过</v>
      </c>
    </row>
    <row r="62" spans="1:5" x14ac:dyDescent="0.15">
      <c r="A62" s="5" t="s">
        <v>98</v>
      </c>
      <c r="B62" s="5">
        <v>5</v>
      </c>
      <c r="C62" s="5" t="s">
        <v>19</v>
      </c>
      <c r="D62" s="6" t="s">
        <v>103</v>
      </c>
      <c r="E62" s="7" t="str">
        <f>VLOOKUP(D62,[1]投票表汇总!$D$2:$H$118,5,0)</f>
        <v>通过</v>
      </c>
    </row>
    <row r="63" spans="1:5" x14ac:dyDescent="0.15">
      <c r="A63" s="5" t="s">
        <v>98</v>
      </c>
      <c r="B63" s="5">
        <v>6</v>
      </c>
      <c r="C63" s="5" t="s">
        <v>47</v>
      </c>
      <c r="D63" s="6" t="s">
        <v>104</v>
      </c>
      <c r="E63" s="7" t="str">
        <f>VLOOKUP(D63,[1]投票表汇总!$D$2:$H$118,5,0)</f>
        <v>通过</v>
      </c>
    </row>
    <row r="64" spans="1:5" x14ac:dyDescent="0.15">
      <c r="A64" s="5" t="s">
        <v>98</v>
      </c>
      <c r="B64" s="5">
        <v>7</v>
      </c>
      <c r="C64" s="5" t="s">
        <v>47</v>
      </c>
      <c r="D64" s="6" t="s">
        <v>105</v>
      </c>
      <c r="E64" s="7" t="str">
        <f>VLOOKUP(D64,[1]投票表汇总!$D$2:$H$118,5,0)</f>
        <v>通过</v>
      </c>
    </row>
    <row r="65" spans="1:5" x14ac:dyDescent="0.15">
      <c r="A65" s="5" t="s">
        <v>98</v>
      </c>
      <c r="B65" s="5">
        <v>8</v>
      </c>
      <c r="C65" s="5" t="s">
        <v>12</v>
      </c>
      <c r="D65" s="6" t="s">
        <v>106</v>
      </c>
      <c r="E65" s="7" t="str">
        <f>VLOOKUP(D65,[1]投票表汇总!$D$2:$H$118,5,0)</f>
        <v>通过</v>
      </c>
    </row>
    <row r="66" spans="1:5" x14ac:dyDescent="0.15">
      <c r="A66" s="5" t="s">
        <v>98</v>
      </c>
      <c r="B66" s="5">
        <v>9</v>
      </c>
      <c r="C66" s="5" t="s">
        <v>7</v>
      </c>
      <c r="D66" s="6" t="s">
        <v>107</v>
      </c>
      <c r="E66" s="7" t="str">
        <f>VLOOKUP(D66,[1]投票表汇总!$D$2:$H$118,5,0)</f>
        <v>通过</v>
      </c>
    </row>
    <row r="67" spans="1:5" x14ac:dyDescent="0.15">
      <c r="A67" s="5" t="s">
        <v>98</v>
      </c>
      <c r="B67" s="5">
        <v>10</v>
      </c>
      <c r="C67" s="9" t="s">
        <v>42</v>
      </c>
      <c r="D67" s="10" t="s">
        <v>108</v>
      </c>
      <c r="E67" s="7" t="str">
        <f>VLOOKUP(D67,[1]投票表汇总!$D$2:$H$118,5,0)</f>
        <v>通过</v>
      </c>
    </row>
    <row r="68" spans="1:5" x14ac:dyDescent="0.15">
      <c r="A68" s="5" t="s">
        <v>16</v>
      </c>
      <c r="B68" s="5">
        <v>1</v>
      </c>
      <c r="C68" s="9" t="s">
        <v>47</v>
      </c>
      <c r="D68" s="10" t="s">
        <v>109</v>
      </c>
      <c r="E68" s="7" t="str">
        <f>VLOOKUP(D68,[1]投票表汇总!$D$2:$H$118,5,0)</f>
        <v>通过</v>
      </c>
    </row>
    <row r="69" spans="1:5" x14ac:dyDescent="0.15">
      <c r="A69" s="5" t="s">
        <v>16</v>
      </c>
      <c r="B69" s="5">
        <v>2</v>
      </c>
      <c r="C69" s="5" t="s">
        <v>10</v>
      </c>
      <c r="D69" s="6" t="s">
        <v>17</v>
      </c>
      <c r="E69" s="7" t="str">
        <f>VLOOKUP(D69,[1]投票表汇总!$D$2:$H$118,5,0)</f>
        <v>不通过</v>
      </c>
    </row>
    <row r="70" spans="1:5" x14ac:dyDescent="0.15">
      <c r="A70" s="5" t="s">
        <v>18</v>
      </c>
      <c r="B70" s="5">
        <v>1</v>
      </c>
      <c r="C70" s="5" t="s">
        <v>10</v>
      </c>
      <c r="D70" s="6" t="s">
        <v>110</v>
      </c>
      <c r="E70" s="7" t="str">
        <f>VLOOKUP(D70,[1]投票表汇总!$D$2:$H$118,5,0)</f>
        <v>通过</v>
      </c>
    </row>
    <row r="71" spans="1:5" x14ac:dyDescent="0.15">
      <c r="A71" s="5" t="s">
        <v>18</v>
      </c>
      <c r="B71" s="5">
        <v>2</v>
      </c>
      <c r="C71" s="5" t="s">
        <v>10</v>
      </c>
      <c r="D71" s="6" t="s">
        <v>111</v>
      </c>
      <c r="E71" s="7" t="str">
        <f>VLOOKUP(D71,[1]投票表汇总!$D$2:$H$118,5,0)</f>
        <v>通过</v>
      </c>
    </row>
    <row r="72" spans="1:5" x14ac:dyDescent="0.15">
      <c r="A72" s="5" t="s">
        <v>18</v>
      </c>
      <c r="B72" s="5">
        <v>3</v>
      </c>
      <c r="C72" s="5" t="s">
        <v>10</v>
      </c>
      <c r="D72" s="6" t="s">
        <v>112</v>
      </c>
      <c r="E72" s="7" t="str">
        <f>VLOOKUP(D72,[1]投票表汇总!$D$2:$H$118,5,0)</f>
        <v>通过</v>
      </c>
    </row>
    <row r="73" spans="1:5" x14ac:dyDescent="0.15">
      <c r="A73" s="5" t="s">
        <v>18</v>
      </c>
      <c r="B73" s="5">
        <v>4</v>
      </c>
      <c r="C73" s="5" t="s">
        <v>10</v>
      </c>
      <c r="D73" s="6" t="s">
        <v>113</v>
      </c>
      <c r="E73" s="7" t="str">
        <f>VLOOKUP(D73,[1]投票表汇总!$D$2:$H$118,5,0)</f>
        <v>通过</v>
      </c>
    </row>
    <row r="74" spans="1:5" x14ac:dyDescent="0.15">
      <c r="A74" s="5" t="s">
        <v>18</v>
      </c>
      <c r="B74" s="5">
        <v>5</v>
      </c>
      <c r="C74" s="5" t="s">
        <v>10</v>
      </c>
      <c r="D74" s="6" t="s">
        <v>114</v>
      </c>
      <c r="E74" s="7" t="str">
        <f>VLOOKUP(D74,[1]投票表汇总!$D$2:$H$118,5,0)</f>
        <v>通过</v>
      </c>
    </row>
    <row r="75" spans="1:5" x14ac:dyDescent="0.15">
      <c r="A75" s="5" t="s">
        <v>18</v>
      </c>
      <c r="B75" s="5">
        <v>6</v>
      </c>
      <c r="C75" s="5" t="s">
        <v>10</v>
      </c>
      <c r="D75" s="6" t="s">
        <v>115</v>
      </c>
      <c r="E75" s="7" t="str">
        <f>VLOOKUP(D75,[1]投票表汇总!$D$2:$H$118,5,0)</f>
        <v>通过</v>
      </c>
    </row>
    <row r="76" spans="1:5" x14ac:dyDescent="0.15">
      <c r="A76" s="5" t="s">
        <v>18</v>
      </c>
      <c r="B76" s="5">
        <v>7</v>
      </c>
      <c r="C76" s="5" t="s">
        <v>19</v>
      </c>
      <c r="D76" s="6" t="s">
        <v>20</v>
      </c>
      <c r="E76" s="7" t="str">
        <f>VLOOKUP(D76,[1]投票表汇总!$D$2:$H$118,5,0)</f>
        <v>不通过</v>
      </c>
    </row>
    <row r="77" spans="1:5" x14ac:dyDescent="0.15">
      <c r="A77" s="5" t="s">
        <v>18</v>
      </c>
      <c r="B77" s="5">
        <v>8</v>
      </c>
      <c r="C77" s="5" t="s">
        <v>19</v>
      </c>
      <c r="D77" s="6" t="s">
        <v>21</v>
      </c>
      <c r="E77" s="7" t="str">
        <f>VLOOKUP(D77,[1]投票表汇总!$D$2:$H$118,5,0)</f>
        <v>不通过</v>
      </c>
    </row>
    <row r="78" spans="1:5" x14ac:dyDescent="0.15">
      <c r="A78" s="5" t="s">
        <v>18</v>
      </c>
      <c r="B78" s="5">
        <v>9</v>
      </c>
      <c r="C78" s="5" t="s">
        <v>7</v>
      </c>
      <c r="D78" s="6" t="s">
        <v>116</v>
      </c>
      <c r="E78" s="7" t="str">
        <f>VLOOKUP(D78,[1]投票表汇总!$D$2:$H$118,5,0)</f>
        <v>通过</v>
      </c>
    </row>
    <row r="79" spans="1:5" x14ac:dyDescent="0.15">
      <c r="A79" s="5" t="s">
        <v>18</v>
      </c>
      <c r="B79" s="5">
        <v>10</v>
      </c>
      <c r="C79" s="5" t="s">
        <v>7</v>
      </c>
      <c r="D79" s="6" t="s">
        <v>117</v>
      </c>
      <c r="E79" s="7" t="str">
        <f>VLOOKUP(D79,[1]投票表汇总!$D$2:$H$118,5,0)</f>
        <v>通过</v>
      </c>
    </row>
    <row r="80" spans="1:5" x14ac:dyDescent="0.15">
      <c r="A80" s="5" t="s">
        <v>118</v>
      </c>
      <c r="B80" s="5">
        <v>1</v>
      </c>
      <c r="C80" s="5" t="s">
        <v>10</v>
      </c>
      <c r="D80" s="6" t="s">
        <v>119</v>
      </c>
      <c r="E80" s="7" t="str">
        <f>VLOOKUP(D80,[1]投票表汇总!$D$2:$H$118,5,0)</f>
        <v>通过</v>
      </c>
    </row>
    <row r="81" spans="1:5" x14ac:dyDescent="0.15">
      <c r="A81" s="5" t="s">
        <v>118</v>
      </c>
      <c r="B81" s="5">
        <v>2</v>
      </c>
      <c r="C81" s="5" t="s">
        <v>10</v>
      </c>
      <c r="D81" s="6" t="s">
        <v>120</v>
      </c>
      <c r="E81" s="7" t="str">
        <f>VLOOKUP(D81,[1]投票表汇总!$D$2:$H$118,5,0)</f>
        <v>通过</v>
      </c>
    </row>
    <row r="82" spans="1:5" x14ac:dyDescent="0.15">
      <c r="A82" s="5" t="s">
        <v>118</v>
      </c>
      <c r="B82" s="5">
        <v>3</v>
      </c>
      <c r="C82" s="5" t="s">
        <v>10</v>
      </c>
      <c r="D82" s="6" t="s">
        <v>121</v>
      </c>
      <c r="E82" s="7" t="str">
        <f>VLOOKUP(D82,[1]投票表汇总!$D$2:$H$118,5,0)</f>
        <v>通过</v>
      </c>
    </row>
    <row r="83" spans="1:5" x14ac:dyDescent="0.15">
      <c r="A83" s="5" t="s">
        <v>118</v>
      </c>
      <c r="B83" s="5">
        <v>4</v>
      </c>
      <c r="C83" s="5" t="s">
        <v>12</v>
      </c>
      <c r="D83" s="6" t="s">
        <v>122</v>
      </c>
      <c r="E83" s="7" t="str">
        <f>VLOOKUP(D83,[1]投票表汇总!$D$2:$H$118,5,0)</f>
        <v>通过</v>
      </c>
    </row>
    <row r="84" spans="1:5" x14ac:dyDescent="0.15">
      <c r="A84" s="5" t="s">
        <v>118</v>
      </c>
      <c r="B84" s="5">
        <v>5</v>
      </c>
      <c r="C84" s="5" t="s">
        <v>12</v>
      </c>
      <c r="D84" s="6" t="s">
        <v>123</v>
      </c>
      <c r="E84" s="7" t="str">
        <f>VLOOKUP(D84,[1]投票表汇总!$D$2:$H$118,5,0)</f>
        <v>通过</v>
      </c>
    </row>
    <row r="85" spans="1:5" x14ac:dyDescent="0.15">
      <c r="A85" s="11" t="s">
        <v>124</v>
      </c>
      <c r="B85" s="5">
        <v>1</v>
      </c>
      <c r="C85" s="5" t="s">
        <v>10</v>
      </c>
      <c r="D85" s="6" t="s">
        <v>125</v>
      </c>
      <c r="E85" s="7" t="str">
        <f>VLOOKUP(D85,[1]投票表汇总!$D$2:$H$118,5,0)</f>
        <v>通过</v>
      </c>
    </row>
    <row r="86" spans="1:5" x14ac:dyDescent="0.15">
      <c r="A86" s="11" t="s">
        <v>124</v>
      </c>
      <c r="B86" s="5">
        <v>2</v>
      </c>
      <c r="C86" s="5" t="s">
        <v>47</v>
      </c>
      <c r="D86" s="6" t="s">
        <v>126</v>
      </c>
      <c r="E86" s="7" t="str">
        <f>VLOOKUP(D86,[1]投票表汇总!$D$2:$H$118,5,0)</f>
        <v>通过</v>
      </c>
    </row>
    <row r="87" spans="1:5" x14ac:dyDescent="0.15">
      <c r="A87" s="5" t="s">
        <v>22</v>
      </c>
      <c r="B87" s="5">
        <v>1</v>
      </c>
      <c r="C87" s="5" t="s">
        <v>10</v>
      </c>
      <c r="D87" s="6" t="s">
        <v>127</v>
      </c>
      <c r="E87" s="7" t="str">
        <f>VLOOKUP(D87,[1]投票表汇总!$D$2:$H$118,5,0)</f>
        <v>通过</v>
      </c>
    </row>
    <row r="88" spans="1:5" x14ac:dyDescent="0.15">
      <c r="A88" s="5" t="s">
        <v>22</v>
      </c>
      <c r="B88" s="5">
        <v>2</v>
      </c>
      <c r="C88" s="5" t="s">
        <v>10</v>
      </c>
      <c r="D88" s="6" t="s">
        <v>128</v>
      </c>
      <c r="E88" s="7" t="str">
        <f>VLOOKUP(D88,[1]投票表汇总!$D$2:$H$118,5,0)</f>
        <v>通过</v>
      </c>
    </row>
    <row r="89" spans="1:5" x14ac:dyDescent="0.15">
      <c r="A89" s="5" t="s">
        <v>22</v>
      </c>
      <c r="B89" s="5">
        <v>3</v>
      </c>
      <c r="C89" s="5" t="s">
        <v>10</v>
      </c>
      <c r="D89" s="6" t="s">
        <v>129</v>
      </c>
      <c r="E89" s="7" t="str">
        <f>VLOOKUP(D89,[1]投票表汇总!$D$2:$H$118,5,0)</f>
        <v>通过</v>
      </c>
    </row>
    <row r="90" spans="1:5" x14ac:dyDescent="0.15">
      <c r="A90" s="5" t="s">
        <v>22</v>
      </c>
      <c r="B90" s="5">
        <v>4</v>
      </c>
      <c r="C90" s="5" t="s">
        <v>10</v>
      </c>
      <c r="D90" s="6" t="s">
        <v>130</v>
      </c>
      <c r="E90" s="7" t="str">
        <f>VLOOKUP(D90,[1]投票表汇总!$D$2:$H$118,5,0)</f>
        <v>通过</v>
      </c>
    </row>
    <row r="91" spans="1:5" x14ac:dyDescent="0.15">
      <c r="A91" s="5" t="s">
        <v>22</v>
      </c>
      <c r="B91" s="5">
        <v>5</v>
      </c>
      <c r="C91" s="5" t="s">
        <v>19</v>
      </c>
      <c r="D91" s="6" t="s">
        <v>23</v>
      </c>
      <c r="E91" s="7" t="str">
        <f>VLOOKUP(D91,[1]投票表汇总!$D$2:$H$118,5,0)</f>
        <v>不通过</v>
      </c>
    </row>
    <row r="92" spans="1:5" x14ac:dyDescent="0.15">
      <c r="A92" s="5" t="s">
        <v>131</v>
      </c>
      <c r="B92" s="5">
        <v>1</v>
      </c>
      <c r="C92" s="5" t="s">
        <v>10</v>
      </c>
      <c r="D92" s="6" t="s">
        <v>132</v>
      </c>
      <c r="E92" s="7" t="str">
        <f>VLOOKUP(D92,[1]投票表汇总!$D$2:$H$118,5,0)</f>
        <v>通过</v>
      </c>
    </row>
    <row r="93" spans="1:5" x14ac:dyDescent="0.15">
      <c r="A93" s="5" t="s">
        <v>131</v>
      </c>
      <c r="B93" s="5">
        <v>2</v>
      </c>
      <c r="C93" s="5" t="s">
        <v>10</v>
      </c>
      <c r="D93" s="6" t="s">
        <v>133</v>
      </c>
      <c r="E93" s="7" t="str">
        <f>VLOOKUP(D93,[1]投票表汇总!$D$2:$H$118,5,0)</f>
        <v>通过</v>
      </c>
    </row>
    <row r="94" spans="1:5" x14ac:dyDescent="0.15">
      <c r="A94" s="5" t="s">
        <v>131</v>
      </c>
      <c r="B94" s="5">
        <v>3</v>
      </c>
      <c r="C94" s="5" t="s">
        <v>47</v>
      </c>
      <c r="D94" s="6" t="s">
        <v>134</v>
      </c>
      <c r="E94" s="7" t="str">
        <f>VLOOKUP(D94,[1]投票表汇总!$D$2:$H$118,5,0)</f>
        <v>通过</v>
      </c>
    </row>
    <row r="95" spans="1:5" x14ac:dyDescent="0.15">
      <c r="A95" s="11" t="s">
        <v>24</v>
      </c>
      <c r="B95" s="5">
        <v>1</v>
      </c>
      <c r="C95" s="5" t="s">
        <v>10</v>
      </c>
      <c r="D95" s="6" t="s">
        <v>135</v>
      </c>
      <c r="E95" s="7" t="str">
        <f>VLOOKUP(D95,[1]投票表汇总!$D$2:$H$118,5,0)</f>
        <v>通过</v>
      </c>
    </row>
    <row r="96" spans="1:5" x14ac:dyDescent="0.15">
      <c r="A96" s="11" t="s">
        <v>24</v>
      </c>
      <c r="B96" s="5">
        <v>2</v>
      </c>
      <c r="C96" s="5" t="s">
        <v>10</v>
      </c>
      <c r="D96" s="6" t="s">
        <v>25</v>
      </c>
      <c r="E96" s="7" t="str">
        <f>VLOOKUP(D96,[1]投票表汇总!$D$2:$H$118,5,0)</f>
        <v>不通过</v>
      </c>
    </row>
    <row r="97" spans="1:5" x14ac:dyDescent="0.15">
      <c r="A97" s="11" t="s">
        <v>24</v>
      </c>
      <c r="B97" s="5">
        <v>3</v>
      </c>
      <c r="C97" s="5" t="s">
        <v>10</v>
      </c>
      <c r="D97" s="6" t="s">
        <v>136</v>
      </c>
      <c r="E97" s="7" t="str">
        <f>VLOOKUP(D97,[1]投票表汇总!$D$2:$H$118,5,0)</f>
        <v>通过</v>
      </c>
    </row>
    <row r="98" spans="1:5" x14ac:dyDescent="0.15">
      <c r="A98" s="5" t="s">
        <v>137</v>
      </c>
      <c r="B98" s="5">
        <v>1</v>
      </c>
      <c r="C98" s="5" t="s">
        <v>10</v>
      </c>
      <c r="D98" s="6" t="s">
        <v>138</v>
      </c>
      <c r="E98" s="7" t="str">
        <f>VLOOKUP(D98,[1]投票表汇总!$D$2:$H$118,5,0)</f>
        <v>通过</v>
      </c>
    </row>
    <row r="99" spans="1:5" x14ac:dyDescent="0.15">
      <c r="A99" s="5" t="s">
        <v>139</v>
      </c>
      <c r="B99" s="5">
        <v>1</v>
      </c>
      <c r="C99" s="5" t="s">
        <v>10</v>
      </c>
      <c r="D99" s="6" t="s">
        <v>140</v>
      </c>
      <c r="E99" s="7" t="str">
        <f>VLOOKUP(D99,[1]投票表汇总!$D$2:$H$118,5,0)</f>
        <v>通过</v>
      </c>
    </row>
    <row r="100" spans="1:5" x14ac:dyDescent="0.15">
      <c r="A100" s="5" t="s">
        <v>139</v>
      </c>
      <c r="B100" s="5">
        <v>2</v>
      </c>
      <c r="C100" s="5" t="s">
        <v>10</v>
      </c>
      <c r="D100" s="6" t="s">
        <v>141</v>
      </c>
      <c r="E100" s="7" t="str">
        <f>VLOOKUP(D100,[1]投票表汇总!$D$2:$H$118,5,0)</f>
        <v>通过</v>
      </c>
    </row>
    <row r="101" spans="1:5" x14ac:dyDescent="0.15">
      <c r="A101" s="5" t="s">
        <v>139</v>
      </c>
      <c r="B101" s="5">
        <v>3</v>
      </c>
      <c r="C101" s="5" t="s">
        <v>10</v>
      </c>
      <c r="D101" s="6" t="s">
        <v>142</v>
      </c>
      <c r="E101" s="7" t="str">
        <f>VLOOKUP(D101,[1]投票表汇总!$D$2:$H$118,5,0)</f>
        <v>通过</v>
      </c>
    </row>
    <row r="102" spans="1:5" x14ac:dyDescent="0.15">
      <c r="A102" s="5" t="s">
        <v>139</v>
      </c>
      <c r="B102" s="5">
        <v>4</v>
      </c>
      <c r="C102" s="5" t="s">
        <v>19</v>
      </c>
      <c r="D102" s="6" t="s">
        <v>143</v>
      </c>
      <c r="E102" s="7" t="str">
        <f>VLOOKUP(D102,[1]投票表汇总!$D$2:$H$118,5,0)</f>
        <v>通过</v>
      </c>
    </row>
    <row r="103" spans="1:5" x14ac:dyDescent="0.15">
      <c r="A103" s="5" t="s">
        <v>139</v>
      </c>
      <c r="B103" s="5">
        <v>5</v>
      </c>
      <c r="C103" s="5" t="s">
        <v>7</v>
      </c>
      <c r="D103" s="6" t="s">
        <v>144</v>
      </c>
      <c r="E103" s="7" t="str">
        <f>VLOOKUP(D103,[1]投票表汇总!$D$2:$H$118,5,0)</f>
        <v>通过</v>
      </c>
    </row>
    <row r="104" spans="1:5" x14ac:dyDescent="0.15">
      <c r="A104" s="5" t="s">
        <v>139</v>
      </c>
      <c r="B104" s="5">
        <v>6</v>
      </c>
      <c r="C104" s="5" t="s">
        <v>145</v>
      </c>
      <c r="D104" s="6" t="s">
        <v>146</v>
      </c>
      <c r="E104" s="7" t="str">
        <f>VLOOKUP(D104,[1]投票表汇总!$D$2:$H$118,5,0)</f>
        <v>通过</v>
      </c>
    </row>
    <row r="105" spans="1:5" x14ac:dyDescent="0.15">
      <c r="A105" s="5" t="s">
        <v>26</v>
      </c>
      <c r="B105" s="5">
        <v>1</v>
      </c>
      <c r="C105" s="5" t="s">
        <v>10</v>
      </c>
      <c r="D105" s="6" t="s">
        <v>27</v>
      </c>
      <c r="E105" s="7" t="str">
        <f>VLOOKUP(D105,[1]投票表汇总!$D$2:$H$118,5,0)</f>
        <v>不通过</v>
      </c>
    </row>
    <row r="106" spans="1:5" x14ac:dyDescent="0.15">
      <c r="A106" s="5" t="s">
        <v>147</v>
      </c>
      <c r="B106" s="5">
        <v>1</v>
      </c>
      <c r="C106" s="5" t="s">
        <v>10</v>
      </c>
      <c r="D106" s="6" t="s">
        <v>148</v>
      </c>
      <c r="E106" s="7" t="str">
        <f>VLOOKUP(D106,[1]投票表汇总!$D$2:$H$118,5,0)</f>
        <v>通过</v>
      </c>
    </row>
    <row r="107" spans="1:5" x14ac:dyDescent="0.15">
      <c r="A107" s="5" t="s">
        <v>147</v>
      </c>
      <c r="B107" s="5">
        <v>2</v>
      </c>
      <c r="C107" s="5" t="s">
        <v>19</v>
      </c>
      <c r="D107" s="6" t="s">
        <v>149</v>
      </c>
      <c r="E107" s="7" t="str">
        <f>VLOOKUP(D107,[1]投票表汇总!$D$2:$H$118,5,0)</f>
        <v>通过</v>
      </c>
    </row>
    <row r="108" spans="1:5" x14ac:dyDescent="0.15">
      <c r="A108" s="5" t="s">
        <v>150</v>
      </c>
      <c r="B108" s="5">
        <v>1</v>
      </c>
      <c r="C108" s="5" t="s">
        <v>10</v>
      </c>
      <c r="D108" s="6" t="s">
        <v>151</v>
      </c>
      <c r="E108" s="7" t="str">
        <f>VLOOKUP(D108,[1]投票表汇总!$D$2:$H$118,5,0)</f>
        <v>通过</v>
      </c>
    </row>
    <row r="109" spans="1:5" x14ac:dyDescent="0.15">
      <c r="A109" s="5" t="s">
        <v>150</v>
      </c>
      <c r="B109" s="5">
        <v>2</v>
      </c>
      <c r="C109" s="5" t="s">
        <v>7</v>
      </c>
      <c r="D109" s="6" t="s">
        <v>152</v>
      </c>
      <c r="E109" s="7" t="str">
        <f>VLOOKUP(D109,[1]投票表汇总!$D$2:$H$118,5,0)</f>
        <v>通过</v>
      </c>
    </row>
    <row r="110" spans="1:5" x14ac:dyDescent="0.15">
      <c r="A110" s="5" t="s">
        <v>153</v>
      </c>
      <c r="B110" s="5">
        <v>1</v>
      </c>
      <c r="C110" s="5" t="s">
        <v>12</v>
      </c>
      <c r="D110" s="6" t="s">
        <v>154</v>
      </c>
      <c r="E110" s="7" t="str">
        <f>VLOOKUP(D110,[1]投票表汇总!$D$2:$H$118,5,0)</f>
        <v>通过</v>
      </c>
    </row>
    <row r="111" spans="1:5" x14ac:dyDescent="0.15">
      <c r="A111" s="11" t="s">
        <v>28</v>
      </c>
      <c r="B111" s="5">
        <v>1</v>
      </c>
      <c r="C111" s="5" t="s">
        <v>29</v>
      </c>
      <c r="D111" s="6" t="s">
        <v>30</v>
      </c>
      <c r="E111" s="7" t="str">
        <f>VLOOKUP(D111,[1]投票表汇总!$D$2:$H$118,5,0)</f>
        <v>不通过</v>
      </c>
    </row>
    <row r="112" spans="1:5" x14ac:dyDescent="0.15">
      <c r="A112" s="11" t="s">
        <v>28</v>
      </c>
      <c r="B112" s="5">
        <v>2</v>
      </c>
      <c r="C112" s="5" t="s">
        <v>12</v>
      </c>
      <c r="D112" s="6" t="s">
        <v>155</v>
      </c>
      <c r="E112" s="7" t="str">
        <f>VLOOKUP(D112,[1]投票表汇总!$D$2:$H$118,5,0)</f>
        <v>通过</v>
      </c>
    </row>
    <row r="113" spans="1:5" x14ac:dyDescent="0.15">
      <c r="A113" s="5" t="s">
        <v>156</v>
      </c>
      <c r="B113" s="5">
        <v>1</v>
      </c>
      <c r="C113" s="5" t="s">
        <v>7</v>
      </c>
      <c r="D113" s="6" t="s">
        <v>157</v>
      </c>
      <c r="E113" s="7" t="str">
        <f>VLOOKUP(D113,[1]投票表汇总!$D$2:$H$118,5,0)</f>
        <v>通过</v>
      </c>
    </row>
    <row r="114" spans="1:5" x14ac:dyDescent="0.15">
      <c r="A114" s="11" t="s">
        <v>158</v>
      </c>
      <c r="B114" s="5">
        <v>1</v>
      </c>
      <c r="C114" s="5" t="s">
        <v>7</v>
      </c>
      <c r="D114" s="6" t="s">
        <v>159</v>
      </c>
      <c r="E114" s="7" t="str">
        <f>VLOOKUP(D114,[1]投票表汇总!$D$2:$H$118,5,0)</f>
        <v>不通过</v>
      </c>
    </row>
    <row r="115" spans="1:5" x14ac:dyDescent="0.15">
      <c r="A115" s="11" t="s">
        <v>158</v>
      </c>
      <c r="B115" s="5">
        <v>2</v>
      </c>
      <c r="C115" s="5" t="s">
        <v>160</v>
      </c>
      <c r="D115" s="6" t="s">
        <v>161</v>
      </c>
      <c r="E115" s="7" t="str">
        <f>VLOOKUP(D115,[1]投票表汇总!$D$2:$H$118,5,0)</f>
        <v>通过</v>
      </c>
    </row>
    <row r="116" spans="1:5" x14ac:dyDescent="0.15">
      <c r="A116" s="11" t="s">
        <v>158</v>
      </c>
      <c r="B116" s="5">
        <v>3</v>
      </c>
      <c r="C116" s="5" t="s">
        <v>57</v>
      </c>
      <c r="D116" s="6" t="s">
        <v>162</v>
      </c>
      <c r="E116" s="7" t="str">
        <f>VLOOKUP(D116,[1]投票表汇总!$D$2:$H$118,5,0)</f>
        <v>通过</v>
      </c>
    </row>
    <row r="117" spans="1:5" x14ac:dyDescent="0.15">
      <c r="A117" s="5" t="s">
        <v>163</v>
      </c>
      <c r="B117" s="5">
        <v>1</v>
      </c>
      <c r="C117" s="5" t="s">
        <v>7</v>
      </c>
      <c r="D117" s="6" t="s">
        <v>164</v>
      </c>
      <c r="E117" s="7" t="str">
        <f>VLOOKUP(D117,[1]投票表汇总!$D$2:$H$118,5,0)</f>
        <v>通过</v>
      </c>
    </row>
    <row r="118" spans="1:5" x14ac:dyDescent="0.15">
      <c r="A118" s="5" t="s">
        <v>165</v>
      </c>
      <c r="B118" s="5">
        <v>1</v>
      </c>
      <c r="C118" s="5" t="s">
        <v>7</v>
      </c>
      <c r="D118" s="6" t="s">
        <v>166</v>
      </c>
      <c r="E118" s="7" t="str">
        <f>VLOOKUP(D118,[1]投票表汇总!$D$2:$H$118,5,0)</f>
        <v>通过</v>
      </c>
    </row>
  </sheetData>
  <customSheetViews>
    <customSheetView guid="{BF41293E-5BFA-400A-AA68-530EAC246496}" showAutoFilter="1">
      <selection activeCell="E114" sqref="E114"/>
      <pageMargins left="0.70833333333333304" right="0.70833333333333304" top="0.74791666666666701" bottom="0.74791666666666701" header="0.31458333333333299" footer="0.31458333333333299"/>
      <printOptions horizontalCentered="1"/>
      <pageSetup paperSize="9" orientation="portrait" horizontalDpi="200" verticalDpi="300" r:id="rId1"/>
      <autoFilter ref="A2:U118" xr:uid="{796D24A0-CF62-4204-BDD4-65C49D061D73}"/>
    </customSheetView>
    <customSheetView guid="{F2009304-EFC4-4EBE-90DB-85EC541381FF}" showPageBreaks="1" printArea="1" showAutoFilter="1" topLeftCell="A43">
      <selection activeCell="E114" sqref="E114"/>
      <pageMargins left="0.70833333333333304" right="0.70833333333333304" top="0.74791666666666701" bottom="0.74791666666666701" header="0.31458333333333299" footer="0.31458333333333299"/>
      <printOptions horizontalCentered="1"/>
      <pageSetup paperSize="9" orientation="portrait" horizontalDpi="200" verticalDpi="300" r:id="rId2"/>
      <autoFilter ref="A2:U118" xr:uid="{32F99620-C44A-4554-8514-4C771E9ADDC8}"/>
    </customSheetView>
    <customSheetView guid="{DE54F411-5CCD-43D3-8A8B-1D3258F3AEB4}" showAutoFilter="1">
      <selection activeCell="E114" sqref="E114"/>
      <pageMargins left="0.70833333333333304" right="0.70833333333333304" top="0.74791666666666701" bottom="0.74791666666666701" header="0.31458333333333299" footer="0.31458333333333299"/>
      <printOptions horizontalCentered="1"/>
      <pageSetup paperSize="9" orientation="portrait" horizontalDpi="200" verticalDpi="300" r:id="rId3"/>
      <autoFilter ref="A2:U118" xr:uid="{0BC396BF-4828-4D13-8D90-4554B30D97FA}"/>
    </customSheetView>
    <customSheetView guid="{107DE7A0-3DAF-478A-9BAF-3C691FA9A2FF}" topLeftCell="A94">
      <selection activeCell="G12" sqref="G12"/>
      <pageMargins left="0.70833333333333304" right="0.70833333333333304" top="0.74791666666666701" bottom="0.74791666666666701" header="0.31458333333333299" footer="0.31458333333333299"/>
      <printOptions horizontalCentered="1"/>
      <pageSetup paperSize="9" orientation="portrait" horizontalDpi="200" verticalDpi="300" r:id="rId4"/>
    </customSheetView>
  </customSheetViews>
  <mergeCells count="1">
    <mergeCell ref="A1:E1"/>
  </mergeCells>
  <phoneticPr fontId="7" type="noConversion"/>
  <printOptions horizontalCentered="1"/>
  <pageMargins left="0.70833333333333304" right="0.70833333333333304" top="0.74791666666666701" bottom="0.74791666666666701" header="0.31458333333333299" footer="0.31458333333333299"/>
  <pageSetup paperSize="9" orientation="portrait" horizontalDpi="2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通过</vt:lpstr>
      <vt:lpstr>不通过</vt:lpstr>
      <vt:lpstr>评审结果</vt:lpstr>
      <vt:lpstr>不通过!Print_Area</vt:lpstr>
      <vt:lpstr>评审结果!Print_Area</vt:lpstr>
      <vt:lpstr>通过!Print_Area</vt:lpstr>
      <vt:lpstr>通过!Print_Titles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mengmeng</dc:creator>
  <cp:lastModifiedBy>hotmail hhp</cp:lastModifiedBy>
  <cp:lastPrinted>2018-11-29T06:42:08Z</cp:lastPrinted>
  <dcterms:created xsi:type="dcterms:W3CDTF">2006-09-13T11:21:00Z</dcterms:created>
  <dcterms:modified xsi:type="dcterms:W3CDTF">2021-08-27T03:06:47Z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